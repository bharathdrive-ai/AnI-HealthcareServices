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octors" sheetId="2" state="visible" r:id="rId2"/>
    <sheet name="Departments" sheetId="3" state="visible" r:id="rId3"/>
    <sheet name="Leave" sheetId="4" state="visible" r:id="rId4"/>
    <sheet name="Settings" sheetId="5" state="visible" r:id="rId5"/>
    <sheet name="Weekly Coverage" sheetId="6" state="visible" r:id="rId6"/>
  </sheets>
  <definedNames>
    <definedName name="_xlnm._FilterDatabase" localSheetId="1" hidden="1">'Doctors'!$A$1:$T$200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1F6F61"/>
      <sz val="16"/>
    </font>
    <font>
      <name val="Arial"/>
      <i val="1"/>
      <color rgb="00595959"/>
      <sz val="9"/>
    </font>
    <font>
      <name val="Arial"/>
      <b val="1"/>
      <color rgb="001F6F6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1F6F6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0" fontId="6" fillId="5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165" fontId="5" fillId="2" borderId="1" pivotButton="0" quotePrefix="0" xfId="0"/>
    <xf numFmtId="49" fontId="5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2" fillId="3" borderId="1" pivotButton="0" quotePrefix="0" xfId="0"/>
    <xf numFmtId="0" fontId="5" fillId="4" borderId="1" pivotButton="0" quotePrefix="0" xfId="0"/>
    <xf numFmtId="1" fontId="5" fillId="3" borderId="1" applyAlignment="1" pivotButton="0" quotePrefix="0" xfId="0">
      <alignment horizontal="center" vertical="center"/>
    </xf>
    <xf numFmtId="0" fontId="2" fillId="0" borderId="1" pivotButton="0" quotePrefix="0" xfId="0"/>
    <xf numFmtId="49" fontId="5" fillId="2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1F4E79"/>
      </font>
      <fill>
        <patternFill patternType="solid">
          <fgColor rgb="00DDEBF7"/>
        </patternFill>
      </fill>
    </dxf>
    <dxf>
      <font>
        <name val="Arial"/>
        <color rgb="00843C0C"/>
      </font>
      <fill>
        <patternFill patternType="solid">
          <fgColor rgb="00FCE4D6"/>
        </patternFill>
      </fill>
    </dxf>
    <dxf>
      <font>
        <name val="Arial"/>
        <color rgb="00595959"/>
      </font>
      <fill>
        <patternFill patternType="solid">
          <fgColor rgb="00D9D9D9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color rgb="009C0006"/>
      </font>
    </dxf>
    <dxf>
      <font>
        <name val="Arial"/>
        <b val="1"/>
        <color rgb="009C0006"/>
      </font>
    </dxf>
    <dxf>
      <fill>
        <patternFill patternType="solid">
          <fgColor rgb="00FFC7CE"/>
        </patternFill>
      </fill>
    </dxf>
    <dxf>
      <font>
        <name val="Arial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Config</author>
  </authors>
  <commentList>
    <comment ref="L1" authorId="0" shapeId="0">
      <text>
        <t>No = hidden from the public 'Find a doctor' list (still bookable from the portal).</t>
      </text>
    </comment>
    <comment ref="M1" authorId="0" shapeId="0">
      <text>
        <t>Weekly availability Mon–Sat. Full = whole day, AM = morning session, PM = afternoon session, Off = no OPD.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A6A6A6"/>
    <outlinePr summaryBelow="1" summaryRight="1"/>
    <pageSetUpPr/>
  </sheetPr>
  <dimension ref="B2:C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2" customWidth="1" min="3" max="3"/>
  </cols>
  <sheetData>
    <row r="2">
      <c r="B2" s="1" t="inlineStr">
        <is>
          <t>AnI-HealthcareServices — Doctors &amp; Availability Configuration</t>
        </is>
      </c>
    </row>
    <row r="3">
      <c r="B3" s="2" t="inlineStr">
        <is>
          <t>This workbook is the master list of doctors, their weekly OPD availability, department OPD days, leave and slot settings.</t>
        </is>
      </c>
    </row>
    <row r="5">
      <c r="B5" s="3" t="inlineStr">
        <is>
          <t>Colour legend</t>
        </is>
      </c>
    </row>
    <row r="6">
      <c r="B6" s="4" t="inlineStr">
        <is>
          <t>Cream cells</t>
        </is>
      </c>
      <c r="C6" s="5" t="inlineStr">
        <is>
          <t>You edit these. Most have a dropdown — pick from the list.</t>
        </is>
      </c>
    </row>
    <row r="7">
      <c r="B7" s="6" t="inlineStr">
        <is>
          <t>Grey cells</t>
        </is>
      </c>
      <c r="C7" s="5" t="inlineStr">
        <is>
          <t>Calculated automatically (formulas). Don't type over them.</t>
        </is>
      </c>
    </row>
    <row r="8">
      <c r="B8" s="7" t="inlineStr">
        <is>
          <t>Green cells</t>
        </is>
      </c>
      <c r="C8" s="5" t="inlineStr">
        <is>
          <t>Reference only (IDs, names and codes that the website relies on). Don't change.</t>
        </is>
      </c>
    </row>
    <row r="10">
      <c r="B10" s="3" t="inlineStr">
        <is>
          <t>Sheets</t>
        </is>
      </c>
    </row>
    <row r="11">
      <c r="B11" s="8" t="inlineStr">
        <is>
          <t>Doctors</t>
        </is>
      </c>
      <c r="C11" s="9" t="inlineStr">
        <is>
          <t>One row per doctor: profile + weekly availability Mon–Sat (Full day / AM only / PM only / Off). Row order = order on the website.</t>
        </is>
      </c>
    </row>
    <row r="12">
      <c r="B12" s="8" t="inlineStr">
        <is>
          <t>Departments</t>
        </is>
      </c>
      <c r="C12" s="9" t="inlineStr">
        <is>
          <t>OPD days per department (Open/Closed) and whether the consultation fee is General or Specialist. Shows head and doctor count.</t>
        </is>
      </c>
    </row>
    <row r="13">
      <c r="B13" s="8" t="inlineStr">
        <is>
          <t>Leave</t>
        </is>
      </c>
      <c r="C13" s="9" t="inlineStr">
        <is>
          <t>Dates a doctor is away. Approved leave blocks that doctor's booking slots on those dates.</t>
        </is>
      </c>
    </row>
    <row r="14">
      <c r="B14" s="8" t="inlineStr">
        <is>
          <t>Settings</t>
        </is>
      </c>
      <c r="C14" s="9" t="inlineStr">
        <is>
          <t>Session timings, slot length, booking window and consultation fees.</t>
        </is>
      </c>
    </row>
    <row r="15">
      <c r="B15" s="8" t="inlineStr">
        <is>
          <t>Weekly Coverage</t>
        </is>
      </c>
      <c r="C15" s="9" t="inlineStr">
        <is>
          <t>Read-only: how many active doctors each department has in each morning/afternoon session. Red 0 = OPD open but nobody available.</t>
        </is>
      </c>
    </row>
    <row r="17">
      <c r="B17" s="3" t="inlineStr">
        <is>
          <t>How to apply changes</t>
        </is>
      </c>
    </row>
    <row r="18" ht="15" customHeight="1">
      <c r="B18" s="8" t="inlineStr">
        <is>
          <t>Step 1</t>
        </is>
      </c>
      <c r="C18" s="9" t="inlineStr">
        <is>
          <t>Edit the cream cells in this workbook and save it (keep the file name and .xlsx format).</t>
        </is>
      </c>
    </row>
    <row r="19" ht="15" customHeight="1">
      <c r="B19" s="8" t="inlineStr">
        <is>
          <t>Step 2</t>
        </is>
      </c>
      <c r="C19" s="9" t="inlineStr">
        <is>
          <t>Check it:  python tools/doctors_config.py check   — lists any mistakes with the sheet and row.</t>
        </is>
      </c>
    </row>
    <row r="20" ht="28" customHeight="1">
      <c r="B20" s="8" t="inlineStr">
        <is>
          <t>Step 3</t>
        </is>
      </c>
      <c r="C20" s="9" t="inlineStr">
        <is>
          <t>Apply it:  python tools/doctors_config.py sync    — updates the website (doctor list, OPD days) and the staff portal (staff directory, availability, leave, slot settings).</t>
        </is>
      </c>
    </row>
    <row r="21" ht="28" customHeight="1">
      <c r="B21" s="8" t="inlineStr">
        <is>
          <t>Step 4</t>
        </is>
      </c>
      <c r="C21" s="9" t="inlineStr">
        <is>
          <t>Commit and push to GitHub. Vercel and GitHub Pages redeploy automatically within a minute or two.</t>
        </is>
      </c>
    </row>
    <row r="22" ht="28" customHeight="1">
      <c r="B22" s="8" t="inlineStr">
        <is>
          <t>Step 5</t>
        </is>
      </c>
      <c r="C22" s="9" t="inlineStr">
        <is>
          <t>Each browser picks up the new configuration on its next visit. The workbook wins: changes made to these same fields inside the portal (e.g. a doctor's weekly pattern) are replaced on the next sync.</t>
        </is>
      </c>
    </row>
    <row r="24">
      <c r="B24" s="3" t="inlineStr">
        <is>
          <t>Rules</t>
        </is>
      </c>
    </row>
    <row r="25" ht="28" customHeight="1">
      <c r="B25" s="10" t="inlineStr">
        <is>
          <t>•</t>
        </is>
      </c>
      <c r="C25" s="9" t="inlineStr">
        <is>
          <t>Staff ID: STF + 4 digits, unique. For a new doctor use the next free ID shown below. Never reuse an old ID.</t>
        </is>
      </c>
    </row>
    <row r="26" ht="28" customHeight="1">
      <c r="B26" s="10" t="inlineStr">
        <is>
          <t>•</t>
        </is>
      </c>
      <c r="C26" s="9" t="inlineStr">
        <is>
          <t>To remove a doctor, set Status = Inactive (keeps their appointment history). Inactive doctors disappear from the website and booking.</t>
        </is>
      </c>
    </row>
    <row r="27" ht="28" customHeight="1">
      <c r="B27" s="10" t="inlineStr">
        <is>
          <t>•</t>
        </is>
      </c>
      <c r="C27" s="9" t="inlineStr">
        <is>
          <t>On Leave doctors stay on the website but can't be booked. For specific dates, add a row on the Leave sheet instead.</t>
        </is>
      </c>
    </row>
    <row r="28" ht="28" customHeight="1">
      <c r="B28" s="10" t="inlineStr">
        <is>
          <t>•</t>
        </is>
      </c>
      <c r="C28" s="9" t="inlineStr">
        <is>
          <t>Show on website = No hides a doctor from the public 'Find a doctor' list but keeps them bookable in the portal.</t>
        </is>
      </c>
    </row>
    <row r="29" ht="28" customHeight="1">
      <c r="B29" s="10" t="inlineStr">
        <is>
          <t>•</t>
        </is>
      </c>
      <c r="C29" s="9" t="inlineStr">
        <is>
          <t>Each department should have exactly one 'Professor &amp; Head' — that name is shown as the head of department.</t>
        </is>
      </c>
    </row>
    <row r="30" ht="15" customHeight="1">
      <c r="B30" s="10" t="inlineStr">
        <is>
          <t>•</t>
        </is>
      </c>
      <c r="C30" s="9" t="inlineStr">
        <is>
          <t>Emergency Care is walk-in 24×7; its OPD days don't limit emergencies.</t>
        </is>
      </c>
    </row>
    <row r="31" ht="28" customHeight="1">
      <c r="B31" s="10" t="inlineStr">
        <is>
          <t>•</t>
        </is>
      </c>
      <c r="C31" s="9" t="inlineStr">
        <is>
          <t>Mobile: 10 digits starting 6–9. Email may be left blank — it is generated as firstname.lastname@ani-healthcareservices.example.</t>
        </is>
      </c>
    </row>
    <row r="33">
      <c r="B33" s="8" t="inlineStr">
        <is>
          <t>Next free Staff ID</t>
        </is>
      </c>
      <c r="C33" s="6">
        <f>"STF"&amp;TEXT(MAX(Doctors!$V$2:$V$200,20)+1,"0000")</f>
        <v/>
      </c>
    </row>
    <row r="34">
      <c r="C34" s="2" t="inlineStr">
        <is>
          <t>IDs STF0011–STF0020 belong to nurses, technicians and other non-doctor staff.</t>
        </is>
      </c>
    </row>
    <row r="36">
      <c r="B36" s="3" t="inlineStr">
        <is>
          <t>Example — adding leave</t>
        </is>
      </c>
    </row>
    <row r="37">
      <c r="B37" s="8" t="inlineStr">
        <is>
          <t>Staff ID</t>
        </is>
      </c>
      <c r="C37" s="11" t="inlineStr">
        <is>
          <t>STF0006</t>
        </is>
      </c>
    </row>
    <row r="38">
      <c r="B38" s="8" t="inlineStr">
        <is>
          <t>Doctor (auto)</t>
        </is>
      </c>
      <c r="C38" s="11" t="inlineStr">
        <is>
          <t>Dr. Vikram Singh</t>
        </is>
      </c>
    </row>
    <row r="39">
      <c r="B39" s="8" t="inlineStr">
        <is>
          <t>Leave type</t>
        </is>
      </c>
      <c r="C39" s="11" t="inlineStr">
        <is>
          <t>Conference leave</t>
        </is>
      </c>
    </row>
    <row r="40">
      <c r="B40" s="8" t="inlineStr">
        <is>
          <t>From</t>
        </is>
      </c>
      <c r="C40" s="12" t="n">
        <v>46342</v>
      </c>
    </row>
    <row r="41">
      <c r="B41" s="8" t="inlineStr">
        <is>
          <t>To</t>
        </is>
      </c>
      <c r="C41" s="12" t="n">
        <v>46344</v>
      </c>
    </row>
    <row r="42">
      <c r="B42" s="8" t="inlineStr">
        <is>
          <t>Days (auto)</t>
        </is>
      </c>
      <c r="C42" s="11" t="n">
        <v>3</v>
      </c>
    </row>
    <row r="43">
      <c r="B43" s="8" t="inlineStr">
        <is>
          <t>Reason</t>
        </is>
      </c>
      <c r="C43" s="11" t="inlineStr">
        <is>
          <t>Neurology conference, Delhi</t>
        </is>
      </c>
    </row>
    <row r="44">
      <c r="B44" s="8" t="inlineStr">
        <is>
          <t>Status</t>
        </is>
      </c>
      <c r="C44" s="11" t="inlineStr">
        <is>
          <t>Approved</t>
        </is>
      </c>
    </row>
    <row r="45">
      <c r="C45" s="2" t="inlineStr">
        <is>
          <t>This is only an example — it is not part of the configuration. Add real leave on the Leave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61"/>
    <outlinePr summaryBelow="1" summaryRight="1"/>
    <pageSetUpPr/>
  </sheetPr>
  <dimension ref="A1:W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32" customWidth="1" min="4" max="4"/>
    <col width="21" customWidth="1" min="5" max="5"/>
    <col width="12" customWidth="1" min="6" max="6"/>
    <col width="11" customWidth="1" min="7" max="7"/>
    <col width="13" customWidth="1" min="8" max="8"/>
    <col width="12" customWidth="1" min="9" max="9"/>
    <col width="36" customWidth="1" min="10" max="10"/>
    <col width="10" customWidth="1" min="11" max="11"/>
    <col width="10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0" customWidth="1" min="19" max="19"/>
    <col width="30" customWidth="1" min="20" max="20"/>
    <col hidden="1" width="4" customWidth="1" min="21" max="21"/>
    <col hidden="1" width="4" customWidth="1" min="22" max="22"/>
    <col hidden="1" width="4" customWidth="1" min="23" max="23"/>
  </cols>
  <sheetData>
    <row r="1" ht="30" customHeight="1">
      <c r="A1" s="13" t="inlineStr">
        <is>
          <t>Staff ID</t>
        </is>
      </c>
      <c r="B1" s="13" t="inlineStr">
        <is>
          <t>Doctor name</t>
        </is>
      </c>
      <c r="C1" s="13" t="inlineStr">
        <is>
          <t>Department</t>
        </is>
      </c>
      <c r="D1" s="13" t="inlineStr">
        <is>
          <t>Qualification</t>
        </is>
      </c>
      <c r="E1" s="13" t="inlineStr">
        <is>
          <t>Designation</t>
        </is>
      </c>
      <c r="F1" s="13" t="inlineStr">
        <is>
          <t>Employment</t>
        </is>
      </c>
      <c r="G1" s="13" t="inlineStr">
        <is>
          <t>Experience (yrs)</t>
        </is>
      </c>
      <c r="H1" s="13" t="inlineStr">
        <is>
          <t>Date of joining</t>
        </is>
      </c>
      <c r="I1" s="13" t="inlineStr">
        <is>
          <t>Mobile</t>
        </is>
      </c>
      <c r="J1" s="13" t="inlineStr">
        <is>
          <t>Email</t>
        </is>
      </c>
      <c r="K1" s="13" t="inlineStr">
        <is>
          <t>Status</t>
        </is>
      </c>
      <c r="L1" s="13" t="inlineStr">
        <is>
          <t>Show on website</t>
        </is>
      </c>
      <c r="M1" s="13" t="inlineStr">
        <is>
          <t>Mon</t>
        </is>
      </c>
      <c r="N1" s="13" t="inlineStr">
        <is>
          <t>Tue</t>
        </is>
      </c>
      <c r="O1" s="13" t="inlineStr">
        <is>
          <t>Wed</t>
        </is>
      </c>
      <c r="P1" s="13" t="inlineStr">
        <is>
          <t>Thu</t>
        </is>
      </c>
      <c r="Q1" s="13" t="inlineStr">
        <is>
          <t>Fri</t>
        </is>
      </c>
      <c r="R1" s="13" t="inlineStr">
        <is>
          <t>Sat</t>
        </is>
      </c>
      <c r="S1" s="13" t="inlineStr">
        <is>
          <t>OPD sessions / week</t>
        </is>
      </c>
      <c r="T1" s="13" t="inlineStr">
        <is>
          <t>Check</t>
        </is>
      </c>
      <c r="U1" s="13" t="inlineStr">
        <is>
          <t>key</t>
        </is>
      </c>
      <c r="V1" s="13" t="inlineStr">
        <is>
          <t>id#</t>
        </is>
      </c>
      <c r="W1" s="13" t="inlineStr">
        <is>
          <t>dept#</t>
        </is>
      </c>
    </row>
    <row r="2">
      <c r="A2" s="14" t="inlineStr">
        <is>
          <t>STF0001</t>
        </is>
      </c>
      <c r="B2" s="14" t="inlineStr">
        <is>
          <t>Dr. Meera Iyer</t>
        </is>
      </c>
      <c r="C2" s="14" t="inlineStr">
        <is>
          <t>Cardiology</t>
        </is>
      </c>
      <c r="D2" s="14" t="inlineStr">
        <is>
          <t>MD, DM (Cardiology)</t>
        </is>
      </c>
      <c r="E2" s="14" t="inlineStr">
        <is>
          <t>Professor &amp; Head</t>
        </is>
      </c>
      <c r="F2" s="14" t="inlineStr">
        <is>
          <t>Permanent</t>
        </is>
      </c>
      <c r="G2" s="15" t="n">
        <v>22</v>
      </c>
      <c r="H2" s="16" t="n">
        <v>38169</v>
      </c>
      <c r="I2" s="17" t="inlineStr">
        <is>
          <t>9845010000</t>
        </is>
      </c>
      <c r="J2" s="14" t="inlineStr">
        <is>
          <t>meera.iyer@ani-healthcareservices.example</t>
        </is>
      </c>
      <c r="K2" s="15" t="inlineStr">
        <is>
          <t>Active</t>
        </is>
      </c>
      <c r="L2" s="15" t="inlineStr">
        <is>
          <t>Yes</t>
        </is>
      </c>
      <c r="M2" s="15" t="inlineStr">
        <is>
          <t>Full</t>
        </is>
      </c>
      <c r="N2" s="15" t="inlineStr">
        <is>
          <t>Off</t>
        </is>
      </c>
      <c r="O2" s="15" t="inlineStr">
        <is>
          <t>Full</t>
        </is>
      </c>
      <c r="P2" s="15" t="inlineStr">
        <is>
          <t>Off</t>
        </is>
      </c>
      <c r="Q2" s="15" t="inlineStr">
        <is>
          <t>Full</t>
        </is>
      </c>
      <c r="R2" s="15" t="inlineStr">
        <is>
          <t>AM</t>
        </is>
      </c>
      <c r="S2" s="18">
        <f>IF(A2="","",COUNTIF(M2:R2,"Full")*2+COUNTIF(M2:R2,"AM")+COUNTIF(M2:R2,"PM"))</f>
        <v/>
      </c>
      <c r="T2" s="19">
        <f>IF(A2="","",IF(COUNTIF($A$2:$A$200,A2)&gt;1,"Duplicate Staff ID",IF(COUNTA(B2:I2)+COUNTA(K2:L2)&lt;10,"Fill in all details",IF($W2="","Pick a department",IF(COUNTIF(M2:R2,"Off")=6,"No OPD days set",IF((M2&lt;&gt;"Off")*(INDEX(Departments!$D$2:$D$13,$W2)="Closed")+(N2&lt;&gt;"Off")*(INDEX(Departments!$E$2:$E$13,$W2)="Closed")+(O2&lt;&gt;"Off")*(INDEX(Departments!$F$2:$F$13,$W2)="Closed")+(P2&lt;&gt;"Off")*(INDEX(Departments!$G$2:$G$13,$W2)="Closed")+(Q2&lt;&gt;"Off")*(INDEX(Departments!$H$2:$H$13,$W2)="Closed")+(R2&lt;&gt;"Off")*(INDEX(Departments!$I$2:$I$13,$W2)="Closed")&gt;0,"Note: works on a closed OPD day","OK"))))))</f>
        <v/>
      </c>
      <c r="U2" s="20">
        <f>C2&amp;"|"&amp;E2</f>
        <v/>
      </c>
      <c r="V2" s="20">
        <f>IF(A2="","",IFERROR(VALUE(MID(A2,4,4)),0))</f>
        <v/>
      </c>
      <c r="W2" s="20">
        <f>IFERROR(MATCH(C2,Departments!$B$2:$B$13,0),"")</f>
        <v/>
      </c>
    </row>
    <row r="3">
      <c r="A3" s="14" t="inlineStr">
        <is>
          <t>STF0002</t>
        </is>
      </c>
      <c r="B3" s="14" t="inlineStr">
        <is>
          <t>Dr. Arjun Rao</t>
        </is>
      </c>
      <c r="C3" s="14" t="inlineStr">
        <is>
          <t>Orthopaedics</t>
        </is>
      </c>
      <c r="D3" s="14" t="inlineStr">
        <is>
          <t>MS (Ortho), Fellowship Arthroplasty</t>
        </is>
      </c>
      <c r="E3" s="14" t="inlineStr">
        <is>
          <t>Professor &amp; Head</t>
        </is>
      </c>
      <c r="F3" s="14" t="inlineStr">
        <is>
          <t>Permanent</t>
        </is>
      </c>
      <c r="G3" s="15" t="n">
        <v>18</v>
      </c>
      <c r="H3" s="16" t="n">
        <v>39614</v>
      </c>
      <c r="I3" s="17" t="inlineStr">
        <is>
          <t>9845010137</t>
        </is>
      </c>
      <c r="J3" s="14" t="inlineStr">
        <is>
          <t>arjun.rao@ani-healthcareservices.example</t>
        </is>
      </c>
      <c r="K3" s="15" t="inlineStr">
        <is>
          <t>Active</t>
        </is>
      </c>
      <c r="L3" s="15" t="inlineStr">
        <is>
          <t>Yes</t>
        </is>
      </c>
      <c r="M3" s="15" t="inlineStr">
        <is>
          <t>Full</t>
        </is>
      </c>
      <c r="N3" s="15" t="inlineStr">
        <is>
          <t>Full</t>
        </is>
      </c>
      <c r="O3" s="15" t="inlineStr">
        <is>
          <t>Off</t>
        </is>
      </c>
      <c r="P3" s="15" t="inlineStr">
        <is>
          <t>Full</t>
        </is>
      </c>
      <c r="Q3" s="15" t="inlineStr">
        <is>
          <t>Full</t>
        </is>
      </c>
      <c r="R3" s="15" t="inlineStr">
        <is>
          <t>Full</t>
        </is>
      </c>
      <c r="S3" s="18">
        <f>IF(A3="","",COUNTIF(M3:R3,"Full")*2+COUNTIF(M3:R3,"AM")+COUNTIF(M3:R3,"PM"))</f>
        <v/>
      </c>
      <c r="T3" s="19">
        <f>IF(A3="","",IF(COUNTIF($A$2:$A$200,A3)&gt;1,"Duplicate Staff ID",IF(COUNTA(B3:I3)+COUNTA(K3:L3)&lt;10,"Fill in all details",IF($W3="","Pick a department",IF(COUNTIF(M3:R3,"Off")=6,"No OPD days set",IF((M3&lt;&gt;"Off")*(INDEX(Departments!$D$2:$D$13,$W3)="Closed")+(N3&lt;&gt;"Off")*(INDEX(Departments!$E$2:$E$13,$W3)="Closed")+(O3&lt;&gt;"Off")*(INDEX(Departments!$F$2:$F$13,$W3)="Closed")+(P3&lt;&gt;"Off")*(INDEX(Departments!$G$2:$G$13,$W3)="Closed")+(Q3&lt;&gt;"Off")*(INDEX(Departments!$H$2:$H$13,$W3)="Closed")+(R3&lt;&gt;"Off")*(INDEX(Departments!$I$2:$I$13,$W3)="Closed")&gt;0,"Note: works on a closed OPD day","OK"))))))</f>
        <v/>
      </c>
      <c r="U3" s="20">
        <f>C3&amp;"|"&amp;E3</f>
        <v/>
      </c>
      <c r="V3" s="20">
        <f>IF(A3="","",IFERROR(VALUE(MID(A3,4,4)),0))</f>
        <v/>
      </c>
      <c r="W3" s="20">
        <f>IFERROR(MATCH(C3,Departments!$B$2:$B$13,0),"")</f>
        <v/>
      </c>
    </row>
    <row r="4">
      <c r="A4" s="14" t="inlineStr">
        <is>
          <t>STF0003</t>
        </is>
      </c>
      <c r="B4" s="14" t="inlineStr">
        <is>
          <t>Dr. Fatima Sheikh</t>
        </is>
      </c>
      <c r="C4" s="14" t="inlineStr">
        <is>
          <t>Paediatrics</t>
        </is>
      </c>
      <c r="D4" s="14" t="inlineStr">
        <is>
          <t>MD (Paediatrics)</t>
        </is>
      </c>
      <c r="E4" s="14" t="inlineStr">
        <is>
          <t>Professor &amp; Head</t>
        </is>
      </c>
      <c r="F4" s="14" t="inlineStr">
        <is>
          <t>Permanent</t>
        </is>
      </c>
      <c r="G4" s="15" t="n">
        <v>12</v>
      </c>
      <c r="H4" s="16" t="n">
        <v>41649</v>
      </c>
      <c r="I4" s="17" t="inlineStr">
        <is>
          <t>9845010274</t>
        </is>
      </c>
      <c r="J4" s="14" t="inlineStr">
        <is>
          <t>fatima.sheikh@ani-healthcareservices.example</t>
        </is>
      </c>
      <c r="K4" s="15" t="inlineStr">
        <is>
          <t>Active</t>
        </is>
      </c>
      <c r="L4" s="15" t="inlineStr">
        <is>
          <t>Yes</t>
        </is>
      </c>
      <c r="M4" s="15" t="inlineStr">
        <is>
          <t>Full</t>
        </is>
      </c>
      <c r="N4" s="15" t="inlineStr">
        <is>
          <t>Full</t>
        </is>
      </c>
      <c r="O4" s="15" t="inlineStr">
        <is>
          <t>Full</t>
        </is>
      </c>
      <c r="P4" s="15" t="inlineStr">
        <is>
          <t>Full</t>
        </is>
      </c>
      <c r="Q4" s="15" t="inlineStr">
        <is>
          <t>Full</t>
        </is>
      </c>
      <c r="R4" s="15" t="inlineStr">
        <is>
          <t>Full</t>
        </is>
      </c>
      <c r="S4" s="18">
        <f>IF(A4="","",COUNTIF(M4:R4,"Full")*2+COUNTIF(M4:R4,"AM")+COUNTIF(M4:R4,"PM"))</f>
        <v/>
      </c>
      <c r="T4" s="19">
        <f>IF(A4="","",IF(COUNTIF($A$2:$A$200,A4)&gt;1,"Duplicate Staff ID",IF(COUNTA(B4:I4)+COUNTA(K4:L4)&lt;10,"Fill in all details",IF($W4="","Pick a department",IF(COUNTIF(M4:R4,"Off")=6,"No OPD days set",IF((M4&lt;&gt;"Off")*(INDEX(Departments!$D$2:$D$13,$W4)="Closed")+(N4&lt;&gt;"Off")*(INDEX(Departments!$E$2:$E$13,$W4)="Closed")+(O4&lt;&gt;"Off")*(INDEX(Departments!$F$2:$F$13,$W4)="Closed")+(P4&lt;&gt;"Off")*(INDEX(Departments!$G$2:$G$13,$W4)="Closed")+(Q4&lt;&gt;"Off")*(INDEX(Departments!$H$2:$H$13,$W4)="Closed")+(R4&lt;&gt;"Off")*(INDEX(Departments!$I$2:$I$13,$W4)="Closed")&gt;0,"Note: works on a closed OPD day","OK"))))))</f>
        <v/>
      </c>
      <c r="U4" s="20">
        <f>C4&amp;"|"&amp;E4</f>
        <v/>
      </c>
      <c r="V4" s="20">
        <f>IF(A4="","",IFERROR(VALUE(MID(A4,4,4)),0))</f>
        <v/>
      </c>
      <c r="W4" s="20">
        <f>IFERROR(MATCH(C4,Departments!$B$2:$B$13,0),"")</f>
        <v/>
      </c>
    </row>
    <row r="5">
      <c r="A5" s="14" t="inlineStr">
        <is>
          <t>STF0004</t>
        </is>
      </c>
      <c r="B5" s="14" t="inlineStr">
        <is>
          <t>Dr. Rohan Kulkarni</t>
        </is>
      </c>
      <c r="C5" s="14" t="inlineStr">
        <is>
          <t>General Medicine</t>
        </is>
      </c>
      <c r="D5" s="14" t="inlineStr">
        <is>
          <t>MD (General Medicine)</t>
        </is>
      </c>
      <c r="E5" s="14" t="inlineStr">
        <is>
          <t>Professor &amp; Head</t>
        </is>
      </c>
      <c r="F5" s="14" t="inlineStr">
        <is>
          <t>Permanent</t>
        </is>
      </c>
      <c r="G5" s="15" t="n">
        <v>25</v>
      </c>
      <c r="H5" s="16" t="n">
        <v>36951</v>
      </c>
      <c r="I5" s="17" t="inlineStr">
        <is>
          <t>9845010411</t>
        </is>
      </c>
      <c r="J5" s="14" t="inlineStr">
        <is>
          <t>rohan.kulkarni@ani-healthcareservices.example</t>
        </is>
      </c>
      <c r="K5" s="15" t="inlineStr">
        <is>
          <t>Active</t>
        </is>
      </c>
      <c r="L5" s="15" t="inlineStr">
        <is>
          <t>Yes</t>
        </is>
      </c>
      <c r="M5" s="15" t="inlineStr">
        <is>
          <t>Full</t>
        </is>
      </c>
      <c r="N5" s="15" t="inlineStr">
        <is>
          <t>Full</t>
        </is>
      </c>
      <c r="O5" s="15" t="inlineStr">
        <is>
          <t>Full</t>
        </is>
      </c>
      <c r="P5" s="15" t="inlineStr">
        <is>
          <t>Full</t>
        </is>
      </c>
      <c r="Q5" s="15" t="inlineStr">
        <is>
          <t>Full</t>
        </is>
      </c>
      <c r="R5" s="15" t="inlineStr">
        <is>
          <t>AM</t>
        </is>
      </c>
      <c r="S5" s="18">
        <f>IF(A5="","",COUNTIF(M5:R5,"Full")*2+COUNTIF(M5:R5,"AM")+COUNTIF(M5:R5,"PM"))</f>
        <v/>
      </c>
      <c r="T5" s="19">
        <f>IF(A5="","",IF(COUNTIF($A$2:$A$200,A5)&gt;1,"Duplicate Staff ID",IF(COUNTA(B5:I5)+COUNTA(K5:L5)&lt;10,"Fill in all details",IF($W5="","Pick a department",IF(COUNTIF(M5:R5,"Off")=6,"No OPD days set",IF((M5&lt;&gt;"Off")*(INDEX(Departments!$D$2:$D$13,$W5)="Closed")+(N5&lt;&gt;"Off")*(INDEX(Departments!$E$2:$E$13,$W5)="Closed")+(O5&lt;&gt;"Off")*(INDEX(Departments!$F$2:$F$13,$W5)="Closed")+(P5&lt;&gt;"Off")*(INDEX(Departments!$G$2:$G$13,$W5)="Closed")+(Q5&lt;&gt;"Off")*(INDEX(Departments!$H$2:$H$13,$W5)="Closed")+(R5&lt;&gt;"Off")*(INDEX(Departments!$I$2:$I$13,$W5)="Closed")&gt;0,"Note: works on a closed OPD day","OK"))))))</f>
        <v/>
      </c>
      <c r="U5" s="20">
        <f>C5&amp;"|"&amp;E5</f>
        <v/>
      </c>
      <c r="V5" s="20">
        <f>IF(A5="","",IFERROR(VALUE(MID(A5,4,4)),0))</f>
        <v/>
      </c>
      <c r="W5" s="20">
        <f>IFERROR(MATCH(C5,Departments!$B$2:$B$13,0),"")</f>
        <v/>
      </c>
    </row>
    <row r="6">
      <c r="A6" s="14" t="inlineStr">
        <is>
          <t>STF0005</t>
        </is>
      </c>
      <c r="B6" s="14" t="inlineStr">
        <is>
          <t>Dr. Anjali Nair</t>
        </is>
      </c>
      <c r="C6" s="14" t="inlineStr">
        <is>
          <t>Obstetrics &amp; Gynaecology</t>
        </is>
      </c>
      <c r="D6" s="14" t="inlineStr">
        <is>
          <t>MS, DNB (OBG)</t>
        </is>
      </c>
      <c r="E6" s="14" t="inlineStr">
        <is>
          <t>Professor &amp; Head</t>
        </is>
      </c>
      <c r="F6" s="14" t="inlineStr">
        <is>
          <t>Permanent</t>
        </is>
      </c>
      <c r="G6" s="15" t="n">
        <v>14</v>
      </c>
      <c r="H6" s="16" t="n">
        <v>41141</v>
      </c>
      <c r="I6" s="17" t="inlineStr">
        <is>
          <t>9845010548</t>
        </is>
      </c>
      <c r="J6" s="14" t="inlineStr">
        <is>
          <t>anjali.nair@ani-healthcareservices.example</t>
        </is>
      </c>
      <c r="K6" s="15" t="inlineStr">
        <is>
          <t>Active</t>
        </is>
      </c>
      <c r="L6" s="15" t="inlineStr">
        <is>
          <t>Yes</t>
        </is>
      </c>
      <c r="M6" s="15" t="inlineStr">
        <is>
          <t>Full</t>
        </is>
      </c>
      <c r="N6" s="15" t="inlineStr">
        <is>
          <t>Full</t>
        </is>
      </c>
      <c r="O6" s="15" t="inlineStr">
        <is>
          <t>Full</t>
        </is>
      </c>
      <c r="P6" s="15" t="inlineStr">
        <is>
          <t>Full</t>
        </is>
      </c>
      <c r="Q6" s="15" t="inlineStr">
        <is>
          <t>Full</t>
        </is>
      </c>
      <c r="R6" s="15" t="inlineStr">
        <is>
          <t>Full</t>
        </is>
      </c>
      <c r="S6" s="18">
        <f>IF(A6="","",COUNTIF(M6:R6,"Full")*2+COUNTIF(M6:R6,"AM")+COUNTIF(M6:R6,"PM"))</f>
        <v/>
      </c>
      <c r="T6" s="19">
        <f>IF(A6="","",IF(COUNTIF($A$2:$A$200,A6)&gt;1,"Duplicate Staff ID",IF(COUNTA(B6:I6)+COUNTA(K6:L6)&lt;10,"Fill in all details",IF($W6="","Pick a department",IF(COUNTIF(M6:R6,"Off")=6,"No OPD days set",IF((M6&lt;&gt;"Off")*(INDEX(Departments!$D$2:$D$13,$W6)="Closed")+(N6&lt;&gt;"Off")*(INDEX(Departments!$E$2:$E$13,$W6)="Closed")+(O6&lt;&gt;"Off")*(INDEX(Departments!$F$2:$F$13,$W6)="Closed")+(P6&lt;&gt;"Off")*(INDEX(Departments!$G$2:$G$13,$W6)="Closed")+(Q6&lt;&gt;"Off")*(INDEX(Departments!$H$2:$H$13,$W6)="Closed")+(R6&lt;&gt;"Off")*(INDEX(Departments!$I$2:$I$13,$W6)="Closed")&gt;0,"Note: works on a closed OPD day","OK"))))))</f>
        <v/>
      </c>
      <c r="U6" s="20">
        <f>C6&amp;"|"&amp;E6</f>
        <v/>
      </c>
      <c r="V6" s="20">
        <f>IF(A6="","",IFERROR(VALUE(MID(A6,4,4)),0))</f>
        <v/>
      </c>
      <c r="W6" s="20">
        <f>IFERROR(MATCH(C6,Departments!$B$2:$B$13,0),"")</f>
        <v/>
      </c>
    </row>
    <row r="7">
      <c r="A7" s="14" t="inlineStr">
        <is>
          <t>STF0006</t>
        </is>
      </c>
      <c r="B7" s="14" t="inlineStr">
        <is>
          <t>Dr. Vikram Singh</t>
        </is>
      </c>
      <c r="C7" s="14" t="inlineStr">
        <is>
          <t>Neurology</t>
        </is>
      </c>
      <c r="D7" s="14" t="inlineStr">
        <is>
          <t>MCh (Neurosurgery)</t>
        </is>
      </c>
      <c r="E7" s="14" t="inlineStr">
        <is>
          <t>Professor &amp; Head</t>
        </is>
      </c>
      <c r="F7" s="14" t="inlineStr">
        <is>
          <t>Permanent</t>
        </is>
      </c>
      <c r="G7" s="15" t="n">
        <v>9</v>
      </c>
      <c r="H7" s="16" t="n">
        <v>43040</v>
      </c>
      <c r="I7" s="17" t="inlineStr">
        <is>
          <t>9845010685</t>
        </is>
      </c>
      <c r="J7" s="14" t="inlineStr">
        <is>
          <t>vikram.singh@ani-healthcareservices.example</t>
        </is>
      </c>
      <c r="K7" s="15" t="inlineStr">
        <is>
          <t>Active</t>
        </is>
      </c>
      <c r="L7" s="15" t="inlineStr">
        <is>
          <t>Yes</t>
        </is>
      </c>
      <c r="M7" s="15" t="inlineStr">
        <is>
          <t>Off</t>
        </is>
      </c>
      <c r="N7" s="15" t="inlineStr">
        <is>
          <t>Full</t>
        </is>
      </c>
      <c r="O7" s="15" t="inlineStr">
        <is>
          <t>Off</t>
        </is>
      </c>
      <c r="P7" s="15" t="inlineStr">
        <is>
          <t>Full</t>
        </is>
      </c>
      <c r="Q7" s="15" t="inlineStr">
        <is>
          <t>Off</t>
        </is>
      </c>
      <c r="R7" s="15" t="inlineStr">
        <is>
          <t>Full</t>
        </is>
      </c>
      <c r="S7" s="18">
        <f>IF(A7="","",COUNTIF(M7:R7,"Full")*2+COUNTIF(M7:R7,"AM")+COUNTIF(M7:R7,"PM"))</f>
        <v/>
      </c>
      <c r="T7" s="19">
        <f>IF(A7="","",IF(COUNTIF($A$2:$A$200,A7)&gt;1,"Duplicate Staff ID",IF(COUNTA(B7:I7)+COUNTA(K7:L7)&lt;10,"Fill in all details",IF($W7="","Pick a department",IF(COUNTIF(M7:R7,"Off")=6,"No OPD days set",IF((M7&lt;&gt;"Off")*(INDEX(Departments!$D$2:$D$13,$W7)="Closed")+(N7&lt;&gt;"Off")*(INDEX(Departments!$E$2:$E$13,$W7)="Closed")+(O7&lt;&gt;"Off")*(INDEX(Departments!$F$2:$F$13,$W7)="Closed")+(P7&lt;&gt;"Off")*(INDEX(Departments!$G$2:$G$13,$W7)="Closed")+(Q7&lt;&gt;"Off")*(INDEX(Departments!$H$2:$H$13,$W7)="Closed")+(R7&lt;&gt;"Off")*(INDEX(Departments!$I$2:$I$13,$W7)="Closed")&gt;0,"Note: works on a closed OPD day","OK"))))))</f>
        <v/>
      </c>
      <c r="U7" s="20">
        <f>C7&amp;"|"&amp;E7</f>
        <v/>
      </c>
      <c r="V7" s="20">
        <f>IF(A7="","",IFERROR(VALUE(MID(A7,4,4)),0))</f>
        <v/>
      </c>
      <c r="W7" s="20">
        <f>IFERROR(MATCH(C7,Departments!$B$2:$B$13,0),"")</f>
        <v/>
      </c>
    </row>
    <row r="8">
      <c r="A8" s="14" t="inlineStr">
        <is>
          <t>STF0007</t>
        </is>
      </c>
      <c r="B8" s="14" t="inlineStr">
        <is>
          <t>Dr. Kavya Menon</t>
        </is>
      </c>
      <c r="C8" s="14" t="inlineStr">
        <is>
          <t>Ophthalmology</t>
        </is>
      </c>
      <c r="D8" s="14" t="inlineStr">
        <is>
          <t>MS (Ophthalmology)</t>
        </is>
      </c>
      <c r="E8" s="14" t="inlineStr">
        <is>
          <t>Professor &amp; Head</t>
        </is>
      </c>
      <c r="F8" s="14" t="inlineStr">
        <is>
          <t>Permanent</t>
        </is>
      </c>
      <c r="G8" s="15" t="n">
        <v>11</v>
      </c>
      <c r="H8" s="16" t="n">
        <v>42128</v>
      </c>
      <c r="I8" s="17" t="inlineStr">
        <is>
          <t>9845010822</t>
        </is>
      </c>
      <c r="J8" s="14" t="inlineStr">
        <is>
          <t>kavya.menon@ani-healthcareservices.example</t>
        </is>
      </c>
      <c r="K8" s="15" t="inlineStr">
        <is>
          <t>Active</t>
        </is>
      </c>
      <c r="L8" s="15" t="inlineStr">
        <is>
          <t>Yes</t>
        </is>
      </c>
      <c r="M8" s="15" t="inlineStr">
        <is>
          <t>Full</t>
        </is>
      </c>
      <c r="N8" s="15" t="inlineStr">
        <is>
          <t>Full</t>
        </is>
      </c>
      <c r="O8" s="15" t="inlineStr">
        <is>
          <t>Full</t>
        </is>
      </c>
      <c r="P8" s="15" t="inlineStr">
        <is>
          <t>Full</t>
        </is>
      </c>
      <c r="Q8" s="15" t="inlineStr">
        <is>
          <t>Full</t>
        </is>
      </c>
      <c r="R8" s="15" t="inlineStr">
        <is>
          <t>AM</t>
        </is>
      </c>
      <c r="S8" s="18">
        <f>IF(A8="","",COUNTIF(M8:R8,"Full")*2+COUNTIF(M8:R8,"AM")+COUNTIF(M8:R8,"PM"))</f>
        <v/>
      </c>
      <c r="T8" s="19">
        <f>IF(A8="","",IF(COUNTIF($A$2:$A$200,A8)&gt;1,"Duplicate Staff ID",IF(COUNTA(B8:I8)+COUNTA(K8:L8)&lt;10,"Fill in all details",IF($W8="","Pick a department",IF(COUNTIF(M8:R8,"Off")=6,"No OPD days set",IF((M8&lt;&gt;"Off")*(INDEX(Departments!$D$2:$D$13,$W8)="Closed")+(N8&lt;&gt;"Off")*(INDEX(Departments!$E$2:$E$13,$W8)="Closed")+(O8&lt;&gt;"Off")*(INDEX(Departments!$F$2:$F$13,$W8)="Closed")+(P8&lt;&gt;"Off")*(INDEX(Departments!$G$2:$G$13,$W8)="Closed")+(Q8&lt;&gt;"Off")*(INDEX(Departments!$H$2:$H$13,$W8)="Closed")+(R8&lt;&gt;"Off")*(INDEX(Departments!$I$2:$I$13,$W8)="Closed")&gt;0,"Note: works on a closed OPD day","OK"))))))</f>
        <v/>
      </c>
      <c r="U8" s="20">
        <f>C8&amp;"|"&amp;E8</f>
        <v/>
      </c>
      <c r="V8" s="20">
        <f>IF(A8="","",IFERROR(VALUE(MID(A8,4,4)),0))</f>
        <v/>
      </c>
      <c r="W8" s="20">
        <f>IFERROR(MATCH(C8,Departments!$B$2:$B$13,0),"")</f>
        <v/>
      </c>
    </row>
    <row r="9">
      <c r="A9" s="14" t="inlineStr">
        <is>
          <t>STF0008</t>
        </is>
      </c>
      <c r="B9" s="14" t="inlineStr">
        <is>
          <t>Dr. Sameer Joshi</t>
        </is>
      </c>
      <c r="C9" s="14" t="inlineStr">
        <is>
          <t>General Surgery</t>
        </is>
      </c>
      <c r="D9" s="14" t="inlineStr">
        <is>
          <t>MS (General Surgery), FMAS</t>
        </is>
      </c>
      <c r="E9" s="14" t="inlineStr">
        <is>
          <t>Professor &amp; Head</t>
        </is>
      </c>
      <c r="F9" s="14" t="inlineStr">
        <is>
          <t>Permanent</t>
        </is>
      </c>
      <c r="G9" s="15" t="n">
        <v>20</v>
      </c>
      <c r="H9" s="16" t="n">
        <v>38762</v>
      </c>
      <c r="I9" s="17" t="inlineStr">
        <is>
          <t>9845010959</t>
        </is>
      </c>
      <c r="J9" s="14" t="inlineStr">
        <is>
          <t>sameer.joshi@ani-healthcareservices.example</t>
        </is>
      </c>
      <c r="K9" s="15" t="inlineStr">
        <is>
          <t>Active</t>
        </is>
      </c>
      <c r="L9" s="15" t="inlineStr">
        <is>
          <t>Yes</t>
        </is>
      </c>
      <c r="M9" s="15" t="inlineStr">
        <is>
          <t>Full</t>
        </is>
      </c>
      <c r="N9" s="15" t="inlineStr">
        <is>
          <t>Full</t>
        </is>
      </c>
      <c r="O9" s="15" t="inlineStr">
        <is>
          <t>Full</t>
        </is>
      </c>
      <c r="P9" s="15" t="inlineStr">
        <is>
          <t>Full</t>
        </is>
      </c>
      <c r="Q9" s="15" t="inlineStr">
        <is>
          <t>Full</t>
        </is>
      </c>
      <c r="R9" s="15" t="inlineStr">
        <is>
          <t>Full</t>
        </is>
      </c>
      <c r="S9" s="18">
        <f>IF(A9="","",COUNTIF(M9:R9,"Full")*2+COUNTIF(M9:R9,"AM")+COUNTIF(M9:R9,"PM"))</f>
        <v/>
      </c>
      <c r="T9" s="19">
        <f>IF(A9="","",IF(COUNTIF($A$2:$A$200,A9)&gt;1,"Duplicate Staff ID",IF(COUNTA(B9:I9)+COUNTA(K9:L9)&lt;10,"Fill in all details",IF($W9="","Pick a department",IF(COUNTIF(M9:R9,"Off")=6,"No OPD days set",IF((M9&lt;&gt;"Off")*(INDEX(Departments!$D$2:$D$13,$W9)="Closed")+(N9&lt;&gt;"Off")*(INDEX(Departments!$E$2:$E$13,$W9)="Closed")+(O9&lt;&gt;"Off")*(INDEX(Departments!$F$2:$F$13,$W9)="Closed")+(P9&lt;&gt;"Off")*(INDEX(Departments!$G$2:$G$13,$W9)="Closed")+(Q9&lt;&gt;"Off")*(INDEX(Departments!$H$2:$H$13,$W9)="Closed")+(R9&lt;&gt;"Off")*(INDEX(Departments!$I$2:$I$13,$W9)="Closed")&gt;0,"Note: works on a closed OPD day","OK"))))))</f>
        <v/>
      </c>
      <c r="U9" s="20">
        <f>C9&amp;"|"&amp;E9</f>
        <v/>
      </c>
      <c r="V9" s="20">
        <f>IF(A9="","",IFERROR(VALUE(MID(A9,4,4)),0))</f>
        <v/>
      </c>
      <c r="W9" s="20">
        <f>IFERROR(MATCH(C9,Departments!$B$2:$B$13,0),"")</f>
        <v/>
      </c>
    </row>
    <row r="10">
      <c r="A10" s="14" t="inlineStr">
        <is>
          <t>STF0009</t>
        </is>
      </c>
      <c r="B10" s="14" t="inlineStr">
        <is>
          <t>Dr. Priya Das</t>
        </is>
      </c>
      <c r="C10" s="14" t="inlineStr">
        <is>
          <t>ENT</t>
        </is>
      </c>
      <c r="D10" s="14" t="inlineStr">
        <is>
          <t>MS (ENT)</t>
        </is>
      </c>
      <c r="E10" s="14" t="inlineStr">
        <is>
          <t>Professor &amp; Head</t>
        </is>
      </c>
      <c r="F10" s="14" t="inlineStr">
        <is>
          <t>Contract</t>
        </is>
      </c>
      <c r="G10" s="15" t="n">
        <v>7</v>
      </c>
      <c r="H10" s="16" t="n">
        <v>43717</v>
      </c>
      <c r="I10" s="17" t="inlineStr">
        <is>
          <t>9845011096</t>
        </is>
      </c>
      <c r="J10" s="14" t="inlineStr">
        <is>
          <t>priya.das@ani-healthcareservices.example</t>
        </is>
      </c>
      <c r="K10" s="15" t="inlineStr">
        <is>
          <t>Active</t>
        </is>
      </c>
      <c r="L10" s="15" t="inlineStr">
        <is>
          <t>Yes</t>
        </is>
      </c>
      <c r="M10" s="15" t="inlineStr">
        <is>
          <t>Full</t>
        </is>
      </c>
      <c r="N10" s="15" t="inlineStr">
        <is>
          <t>Off</t>
        </is>
      </c>
      <c r="O10" s="15" t="inlineStr">
        <is>
          <t>Full</t>
        </is>
      </c>
      <c r="P10" s="15" t="inlineStr">
        <is>
          <t>Off</t>
        </is>
      </c>
      <c r="Q10" s="15" t="inlineStr">
        <is>
          <t>Full</t>
        </is>
      </c>
      <c r="R10" s="15" t="inlineStr">
        <is>
          <t>Off</t>
        </is>
      </c>
      <c r="S10" s="18">
        <f>IF(A10="","",COUNTIF(M10:R10,"Full")*2+COUNTIF(M10:R10,"AM")+COUNTIF(M10:R10,"PM"))</f>
        <v/>
      </c>
      <c r="T10" s="19">
        <f>IF(A10="","",IF(COUNTIF($A$2:$A$200,A10)&gt;1,"Duplicate Staff ID",IF(COUNTA(B10:I10)+COUNTA(K10:L10)&lt;10,"Fill in all details",IF($W10="","Pick a department",IF(COUNTIF(M10:R10,"Off")=6,"No OPD days set",IF((M10&lt;&gt;"Off")*(INDEX(Departments!$D$2:$D$13,$W10)="Closed")+(N10&lt;&gt;"Off")*(INDEX(Departments!$E$2:$E$13,$W10)="Closed")+(O10&lt;&gt;"Off")*(INDEX(Departments!$F$2:$F$13,$W10)="Closed")+(P10&lt;&gt;"Off")*(INDEX(Departments!$G$2:$G$13,$W10)="Closed")+(Q10&lt;&gt;"Off")*(INDEX(Departments!$H$2:$H$13,$W10)="Closed")+(R10&lt;&gt;"Off")*(INDEX(Departments!$I$2:$I$13,$W10)="Closed")&gt;0,"Note: works on a closed OPD day","OK"))))))</f>
        <v/>
      </c>
      <c r="U10" s="20">
        <f>C10&amp;"|"&amp;E10</f>
        <v/>
      </c>
      <c r="V10" s="20">
        <f>IF(A10="","",IFERROR(VALUE(MID(A10,4,4)),0))</f>
        <v/>
      </c>
      <c r="W10" s="20">
        <f>IFERROR(MATCH(C10,Departments!$B$2:$B$13,0),"")</f>
        <v/>
      </c>
    </row>
    <row r="11">
      <c r="A11" s="14" t="inlineStr">
        <is>
          <t>STF0021</t>
        </is>
      </c>
      <c r="B11" s="14" t="inlineStr">
        <is>
          <t>Dr. Sanjay Hegde</t>
        </is>
      </c>
      <c r="C11" s="14" t="inlineStr">
        <is>
          <t>General Medicine</t>
        </is>
      </c>
      <c r="D11" s="14" t="inlineStr">
        <is>
          <t>MD (General Medicine)</t>
        </is>
      </c>
      <c r="E11" s="14" t="inlineStr">
        <is>
          <t>Associate Professor</t>
        </is>
      </c>
      <c r="F11" s="14" t="inlineStr">
        <is>
          <t>Permanent</t>
        </is>
      </c>
      <c r="G11" s="15" t="n">
        <v>15</v>
      </c>
      <c r="H11" s="16" t="n">
        <v>40725</v>
      </c>
      <c r="I11" s="17" t="inlineStr">
        <is>
          <t>9845012740</t>
        </is>
      </c>
      <c r="J11" s="14" t="inlineStr">
        <is>
          <t>sanjay.hegde@ani-healthcareservices.example</t>
        </is>
      </c>
      <c r="K11" s="15" t="inlineStr">
        <is>
          <t>Active</t>
        </is>
      </c>
      <c r="L11" s="15" t="inlineStr">
        <is>
          <t>Yes</t>
        </is>
      </c>
      <c r="M11" s="15" t="inlineStr">
        <is>
          <t>Full</t>
        </is>
      </c>
      <c r="N11" s="15" t="inlineStr">
        <is>
          <t>Full</t>
        </is>
      </c>
      <c r="O11" s="15" t="inlineStr">
        <is>
          <t>Full</t>
        </is>
      </c>
      <c r="P11" s="15" t="inlineStr">
        <is>
          <t>Full</t>
        </is>
      </c>
      <c r="Q11" s="15" t="inlineStr">
        <is>
          <t>Full</t>
        </is>
      </c>
      <c r="R11" s="15" t="inlineStr">
        <is>
          <t>Full</t>
        </is>
      </c>
      <c r="S11" s="18">
        <f>IF(A11="","",COUNTIF(M11:R11,"Full")*2+COUNTIF(M11:R11,"AM")+COUNTIF(M11:R11,"PM"))</f>
        <v/>
      </c>
      <c r="T11" s="19">
        <f>IF(A11="","",IF(COUNTIF($A$2:$A$200,A11)&gt;1,"Duplicate Staff ID",IF(COUNTA(B11:I11)+COUNTA(K11:L11)&lt;10,"Fill in all details",IF($W11="","Pick a department",IF(COUNTIF(M11:R11,"Off")=6,"No OPD days set",IF((M11&lt;&gt;"Off")*(INDEX(Departments!$D$2:$D$13,$W11)="Closed")+(N11&lt;&gt;"Off")*(INDEX(Departments!$E$2:$E$13,$W11)="Closed")+(O11&lt;&gt;"Off")*(INDEX(Departments!$F$2:$F$13,$W11)="Closed")+(P11&lt;&gt;"Off")*(INDEX(Departments!$G$2:$G$13,$W11)="Closed")+(Q11&lt;&gt;"Off")*(INDEX(Departments!$H$2:$H$13,$W11)="Closed")+(R11&lt;&gt;"Off")*(INDEX(Departments!$I$2:$I$13,$W11)="Closed")&gt;0,"Note: works on a closed OPD day","OK"))))))</f>
        <v/>
      </c>
      <c r="U11" s="20">
        <f>C11&amp;"|"&amp;E11</f>
        <v/>
      </c>
      <c r="V11" s="20">
        <f>IF(A11="","",IFERROR(VALUE(MID(A11,4,4)),0))</f>
        <v/>
      </c>
      <c r="W11" s="20">
        <f>IFERROR(MATCH(C11,Departments!$B$2:$B$13,0),"")</f>
        <v/>
      </c>
    </row>
    <row r="12">
      <c r="A12" s="14" t="inlineStr">
        <is>
          <t>STF0022</t>
        </is>
      </c>
      <c r="B12" s="14" t="inlineStr">
        <is>
          <t>Dr. Nandini Shetty</t>
        </is>
      </c>
      <c r="C12" s="14" t="inlineStr">
        <is>
          <t>General Medicine</t>
        </is>
      </c>
      <c r="D12" s="14" t="inlineStr">
        <is>
          <t>MD (General Medicine)</t>
        </is>
      </c>
      <c r="E12" s="14" t="inlineStr">
        <is>
          <t>Assistant Professor</t>
        </is>
      </c>
      <c r="F12" s="14" t="inlineStr">
        <is>
          <t>Permanent</t>
        </is>
      </c>
      <c r="G12" s="15" t="n">
        <v>8</v>
      </c>
      <c r="H12" s="16" t="n">
        <v>43328</v>
      </c>
      <c r="I12" s="17" t="inlineStr">
        <is>
          <t>9845012877</t>
        </is>
      </c>
      <c r="J12" s="14" t="inlineStr">
        <is>
          <t>nandini.shetty@ani-healthcareservices.example</t>
        </is>
      </c>
      <c r="K12" s="15" t="inlineStr">
        <is>
          <t>Active</t>
        </is>
      </c>
      <c r="L12" s="15" t="inlineStr">
        <is>
          <t>Yes</t>
        </is>
      </c>
      <c r="M12" s="15" t="inlineStr">
        <is>
          <t>Full</t>
        </is>
      </c>
      <c r="N12" s="15" t="inlineStr">
        <is>
          <t>Full</t>
        </is>
      </c>
      <c r="O12" s="15" t="inlineStr">
        <is>
          <t>Full</t>
        </is>
      </c>
      <c r="P12" s="15" t="inlineStr">
        <is>
          <t>Full</t>
        </is>
      </c>
      <c r="Q12" s="15" t="inlineStr">
        <is>
          <t>Full</t>
        </is>
      </c>
      <c r="R12" s="15" t="inlineStr">
        <is>
          <t>Full</t>
        </is>
      </c>
      <c r="S12" s="18">
        <f>IF(A12="","",COUNTIF(M12:R12,"Full")*2+COUNTIF(M12:R12,"AM")+COUNTIF(M12:R12,"PM"))</f>
        <v/>
      </c>
      <c r="T12" s="19">
        <f>IF(A12="","",IF(COUNTIF($A$2:$A$200,A12)&gt;1,"Duplicate Staff ID",IF(COUNTA(B12:I12)+COUNTA(K12:L12)&lt;10,"Fill in all details",IF($W12="","Pick a department",IF(COUNTIF(M12:R12,"Off")=6,"No OPD days set",IF((M12&lt;&gt;"Off")*(INDEX(Departments!$D$2:$D$13,$W12)="Closed")+(N12&lt;&gt;"Off")*(INDEX(Departments!$E$2:$E$13,$W12)="Closed")+(O12&lt;&gt;"Off")*(INDEX(Departments!$F$2:$F$13,$W12)="Closed")+(P12&lt;&gt;"Off")*(INDEX(Departments!$G$2:$G$13,$W12)="Closed")+(Q12&lt;&gt;"Off")*(INDEX(Departments!$H$2:$H$13,$W12)="Closed")+(R12&lt;&gt;"Off")*(INDEX(Departments!$I$2:$I$13,$W12)="Closed")&gt;0,"Note: works on a closed OPD day","OK"))))))</f>
        <v/>
      </c>
      <c r="U12" s="20">
        <f>C12&amp;"|"&amp;E12</f>
        <v/>
      </c>
      <c r="V12" s="20">
        <f>IF(A12="","",IFERROR(VALUE(MID(A12,4,4)),0))</f>
        <v/>
      </c>
      <c r="W12" s="20">
        <f>IFERROR(MATCH(C12,Departments!$B$2:$B$13,0),"")</f>
        <v/>
      </c>
    </row>
    <row r="13">
      <c r="A13" s="14" t="inlineStr">
        <is>
          <t>STF0023</t>
        </is>
      </c>
      <c r="B13" s="14" t="inlineStr">
        <is>
          <t>Dr. Karthik Shenoy</t>
        </is>
      </c>
      <c r="C13" s="14" t="inlineStr">
        <is>
          <t>General Surgery</t>
        </is>
      </c>
      <c r="D13" s="14" t="inlineStr">
        <is>
          <t>MS (General Surgery)</t>
        </is>
      </c>
      <c r="E13" s="14" t="inlineStr">
        <is>
          <t>Associate Professor</t>
        </is>
      </c>
      <c r="F13" s="14" t="inlineStr">
        <is>
          <t>Permanent</t>
        </is>
      </c>
      <c r="G13" s="15" t="n">
        <v>13</v>
      </c>
      <c r="H13" s="16" t="n">
        <v>41309</v>
      </c>
      <c r="I13" s="17" t="inlineStr">
        <is>
          <t>9845013014</t>
        </is>
      </c>
      <c r="J13" s="14" t="inlineStr">
        <is>
          <t>karthik.shenoy@ani-healthcareservices.example</t>
        </is>
      </c>
      <c r="K13" s="15" t="inlineStr">
        <is>
          <t>Active</t>
        </is>
      </c>
      <c r="L13" s="15" t="inlineStr">
        <is>
          <t>Yes</t>
        </is>
      </c>
      <c r="M13" s="15" t="inlineStr">
        <is>
          <t>Full</t>
        </is>
      </c>
      <c r="N13" s="15" t="inlineStr">
        <is>
          <t>Full</t>
        </is>
      </c>
      <c r="O13" s="15" t="inlineStr">
        <is>
          <t>Full</t>
        </is>
      </c>
      <c r="P13" s="15" t="inlineStr">
        <is>
          <t>Full</t>
        </is>
      </c>
      <c r="Q13" s="15" t="inlineStr">
        <is>
          <t>Full</t>
        </is>
      </c>
      <c r="R13" s="15" t="inlineStr">
        <is>
          <t>AM</t>
        </is>
      </c>
      <c r="S13" s="18">
        <f>IF(A13="","",COUNTIF(M13:R13,"Full")*2+COUNTIF(M13:R13,"AM")+COUNTIF(M13:R13,"PM"))</f>
        <v/>
      </c>
      <c r="T13" s="19">
        <f>IF(A13="","",IF(COUNTIF($A$2:$A$200,A13)&gt;1,"Duplicate Staff ID",IF(COUNTA(B13:I13)+COUNTA(K13:L13)&lt;10,"Fill in all details",IF($W13="","Pick a department",IF(COUNTIF(M13:R13,"Off")=6,"No OPD days set",IF((M13&lt;&gt;"Off")*(INDEX(Departments!$D$2:$D$13,$W13)="Closed")+(N13&lt;&gt;"Off")*(INDEX(Departments!$E$2:$E$13,$W13)="Closed")+(O13&lt;&gt;"Off")*(INDEX(Departments!$F$2:$F$13,$W13)="Closed")+(P13&lt;&gt;"Off")*(INDEX(Departments!$G$2:$G$13,$W13)="Closed")+(Q13&lt;&gt;"Off")*(INDEX(Departments!$H$2:$H$13,$W13)="Closed")+(R13&lt;&gt;"Off")*(INDEX(Departments!$I$2:$I$13,$W13)="Closed")&gt;0,"Note: works on a closed OPD day","OK"))))))</f>
        <v/>
      </c>
      <c r="U13" s="20">
        <f>C13&amp;"|"&amp;E13</f>
        <v/>
      </c>
      <c r="V13" s="20">
        <f>IF(A13="","",IFERROR(VALUE(MID(A13,4,4)),0))</f>
        <v/>
      </c>
      <c r="W13" s="20">
        <f>IFERROR(MATCH(C13,Departments!$B$2:$B$13,0),"")</f>
        <v/>
      </c>
    </row>
    <row r="14">
      <c r="A14" s="14" t="inlineStr">
        <is>
          <t>STF0024</t>
        </is>
      </c>
      <c r="B14" s="14" t="inlineStr">
        <is>
          <t>Dr. Ayesha Khan</t>
        </is>
      </c>
      <c r="C14" s="14" t="inlineStr">
        <is>
          <t>General Surgery</t>
        </is>
      </c>
      <c r="D14" s="14" t="inlineStr">
        <is>
          <t>MS (General Surgery), FMAS</t>
        </is>
      </c>
      <c r="E14" s="14" t="inlineStr">
        <is>
          <t>Assistant Professor</t>
        </is>
      </c>
      <c r="F14" s="14" t="inlineStr">
        <is>
          <t>Permanent</t>
        </is>
      </c>
      <c r="G14" s="15" t="n">
        <v>7</v>
      </c>
      <c r="H14" s="16" t="n">
        <v>43626</v>
      </c>
      <c r="I14" s="17" t="inlineStr">
        <is>
          <t>9845013151</t>
        </is>
      </c>
      <c r="J14" s="14" t="inlineStr">
        <is>
          <t>ayesha.khan@ani-healthcareservices.example</t>
        </is>
      </c>
      <c r="K14" s="15" t="inlineStr">
        <is>
          <t>Active</t>
        </is>
      </c>
      <c r="L14" s="15" t="inlineStr">
        <is>
          <t>Yes</t>
        </is>
      </c>
      <c r="M14" s="15" t="inlineStr">
        <is>
          <t>Full</t>
        </is>
      </c>
      <c r="N14" s="15" t="inlineStr">
        <is>
          <t>Full</t>
        </is>
      </c>
      <c r="O14" s="15" t="inlineStr">
        <is>
          <t>Full</t>
        </is>
      </c>
      <c r="P14" s="15" t="inlineStr">
        <is>
          <t>Full</t>
        </is>
      </c>
      <c r="Q14" s="15" t="inlineStr">
        <is>
          <t>Full</t>
        </is>
      </c>
      <c r="R14" s="15" t="inlineStr">
        <is>
          <t>Full</t>
        </is>
      </c>
      <c r="S14" s="18">
        <f>IF(A14="","",COUNTIF(M14:R14,"Full")*2+COUNTIF(M14:R14,"AM")+COUNTIF(M14:R14,"PM"))</f>
        <v/>
      </c>
      <c r="T14" s="19">
        <f>IF(A14="","",IF(COUNTIF($A$2:$A$200,A14)&gt;1,"Duplicate Staff ID",IF(COUNTA(B14:I14)+COUNTA(K14:L14)&lt;10,"Fill in all details",IF($W14="","Pick a department",IF(COUNTIF(M14:R14,"Off")=6,"No OPD days set",IF((M14&lt;&gt;"Off")*(INDEX(Departments!$D$2:$D$13,$W14)="Closed")+(N14&lt;&gt;"Off")*(INDEX(Departments!$E$2:$E$13,$W14)="Closed")+(O14&lt;&gt;"Off")*(INDEX(Departments!$F$2:$F$13,$W14)="Closed")+(P14&lt;&gt;"Off")*(INDEX(Departments!$G$2:$G$13,$W14)="Closed")+(Q14&lt;&gt;"Off")*(INDEX(Departments!$H$2:$H$13,$W14)="Closed")+(R14&lt;&gt;"Off")*(INDEX(Departments!$I$2:$I$13,$W14)="Closed")&gt;0,"Note: works on a closed OPD day","OK"))))))</f>
        <v/>
      </c>
      <c r="U14" s="20">
        <f>C14&amp;"|"&amp;E14</f>
        <v/>
      </c>
      <c r="V14" s="20">
        <f>IF(A14="","",IFERROR(VALUE(MID(A14,4,4)),0))</f>
        <v/>
      </c>
      <c r="W14" s="20">
        <f>IFERROR(MATCH(C14,Departments!$B$2:$B$13,0),"")</f>
        <v/>
      </c>
    </row>
    <row r="15">
      <c r="A15" s="14" t="inlineStr">
        <is>
          <t>STF0025</t>
        </is>
      </c>
      <c r="B15" s="14" t="inlineStr">
        <is>
          <t>Dr. Rajesh Menon</t>
        </is>
      </c>
      <c r="C15" s="14" t="inlineStr">
        <is>
          <t>Cardiology</t>
        </is>
      </c>
      <c r="D15" s="14" t="inlineStr">
        <is>
          <t>MD, DM (Cardiology)</t>
        </is>
      </c>
      <c r="E15" s="14" t="inlineStr">
        <is>
          <t>Associate Professor</t>
        </is>
      </c>
      <c r="F15" s="14" t="inlineStr">
        <is>
          <t>Permanent</t>
        </is>
      </c>
      <c r="G15" s="15" t="n">
        <v>14</v>
      </c>
      <c r="H15" s="16" t="n">
        <v>41153</v>
      </c>
      <c r="I15" s="17" t="inlineStr">
        <is>
          <t>9845013288</t>
        </is>
      </c>
      <c r="J15" s="14" t="inlineStr">
        <is>
          <t>rajesh.menon@ani-healthcareservices.example</t>
        </is>
      </c>
      <c r="K15" s="15" t="inlineStr">
        <is>
          <t>Active</t>
        </is>
      </c>
      <c r="L15" s="15" t="inlineStr">
        <is>
          <t>Yes</t>
        </is>
      </c>
      <c r="M15" s="15" t="inlineStr">
        <is>
          <t>Full</t>
        </is>
      </c>
      <c r="N15" s="15" t="inlineStr">
        <is>
          <t>Off</t>
        </is>
      </c>
      <c r="O15" s="15" t="inlineStr">
        <is>
          <t>Full</t>
        </is>
      </c>
      <c r="P15" s="15" t="inlineStr">
        <is>
          <t>Off</t>
        </is>
      </c>
      <c r="Q15" s="15" t="inlineStr">
        <is>
          <t>Full</t>
        </is>
      </c>
      <c r="R15" s="15" t="inlineStr">
        <is>
          <t>Full</t>
        </is>
      </c>
      <c r="S15" s="18">
        <f>IF(A15="","",COUNTIF(M15:R15,"Full")*2+COUNTIF(M15:R15,"AM")+COUNTIF(M15:R15,"PM"))</f>
        <v/>
      </c>
      <c r="T15" s="19">
        <f>IF(A15="","",IF(COUNTIF($A$2:$A$200,A15)&gt;1,"Duplicate Staff ID",IF(COUNTA(B15:I15)+COUNTA(K15:L15)&lt;10,"Fill in all details",IF($W15="","Pick a department",IF(COUNTIF(M15:R15,"Off")=6,"No OPD days set",IF((M15&lt;&gt;"Off")*(INDEX(Departments!$D$2:$D$13,$W15)="Closed")+(N15&lt;&gt;"Off")*(INDEX(Departments!$E$2:$E$13,$W15)="Closed")+(O15&lt;&gt;"Off")*(INDEX(Departments!$F$2:$F$13,$W15)="Closed")+(P15&lt;&gt;"Off")*(INDEX(Departments!$G$2:$G$13,$W15)="Closed")+(Q15&lt;&gt;"Off")*(INDEX(Departments!$H$2:$H$13,$W15)="Closed")+(R15&lt;&gt;"Off")*(INDEX(Departments!$I$2:$I$13,$W15)="Closed")&gt;0,"Note: works on a closed OPD day","OK"))))))</f>
        <v/>
      </c>
      <c r="U15" s="20">
        <f>C15&amp;"|"&amp;E15</f>
        <v/>
      </c>
      <c r="V15" s="20">
        <f>IF(A15="","",IFERROR(VALUE(MID(A15,4,4)),0))</f>
        <v/>
      </c>
      <c r="W15" s="20">
        <f>IFERROR(MATCH(C15,Departments!$B$2:$B$13,0),"")</f>
        <v/>
      </c>
    </row>
    <row r="16">
      <c r="A16" s="14" t="inlineStr">
        <is>
          <t>STF0026</t>
        </is>
      </c>
      <c r="B16" s="14" t="inlineStr">
        <is>
          <t>Dr. Shruti Patil</t>
        </is>
      </c>
      <c r="C16" s="14" t="inlineStr">
        <is>
          <t>Cardiology</t>
        </is>
      </c>
      <c r="D16" s="14" t="inlineStr">
        <is>
          <t>MD, DM (Cardiology)</t>
        </is>
      </c>
      <c r="E16" s="14" t="inlineStr">
        <is>
          <t>Assistant Professor</t>
        </is>
      </c>
      <c r="F16" s="14" t="inlineStr">
        <is>
          <t>Permanent</t>
        </is>
      </c>
      <c r="G16" s="15" t="n">
        <v>6</v>
      </c>
      <c r="H16" s="16" t="n">
        <v>43892</v>
      </c>
      <c r="I16" s="17" t="inlineStr">
        <is>
          <t>9845013425</t>
        </is>
      </c>
      <c r="J16" s="14" t="inlineStr">
        <is>
          <t>shruti.patil@ani-healthcareservices.example</t>
        </is>
      </c>
      <c r="K16" s="15" t="inlineStr">
        <is>
          <t>Active</t>
        </is>
      </c>
      <c r="L16" s="15" t="inlineStr">
        <is>
          <t>Yes</t>
        </is>
      </c>
      <c r="M16" s="15" t="inlineStr">
        <is>
          <t>Full</t>
        </is>
      </c>
      <c r="N16" s="15" t="inlineStr">
        <is>
          <t>Off</t>
        </is>
      </c>
      <c r="O16" s="15" t="inlineStr">
        <is>
          <t>Full</t>
        </is>
      </c>
      <c r="P16" s="15" t="inlineStr">
        <is>
          <t>Off</t>
        </is>
      </c>
      <c r="Q16" s="15" t="inlineStr">
        <is>
          <t>Full</t>
        </is>
      </c>
      <c r="R16" s="15" t="inlineStr">
        <is>
          <t>AM</t>
        </is>
      </c>
      <c r="S16" s="18">
        <f>IF(A16="","",COUNTIF(M16:R16,"Full")*2+COUNTIF(M16:R16,"AM")+COUNTIF(M16:R16,"PM"))</f>
        <v/>
      </c>
      <c r="T16" s="19">
        <f>IF(A16="","",IF(COUNTIF($A$2:$A$200,A16)&gt;1,"Duplicate Staff ID",IF(COUNTA(B16:I16)+COUNTA(K16:L16)&lt;10,"Fill in all details",IF($W16="","Pick a department",IF(COUNTIF(M16:R16,"Off")=6,"No OPD days set",IF((M16&lt;&gt;"Off")*(INDEX(Departments!$D$2:$D$13,$W16)="Closed")+(N16&lt;&gt;"Off")*(INDEX(Departments!$E$2:$E$13,$W16)="Closed")+(O16&lt;&gt;"Off")*(INDEX(Departments!$F$2:$F$13,$W16)="Closed")+(P16&lt;&gt;"Off")*(INDEX(Departments!$G$2:$G$13,$W16)="Closed")+(Q16&lt;&gt;"Off")*(INDEX(Departments!$H$2:$H$13,$W16)="Closed")+(R16&lt;&gt;"Off")*(INDEX(Departments!$I$2:$I$13,$W16)="Closed")&gt;0,"Note: works on a closed OPD day","OK"))))))</f>
        <v/>
      </c>
      <c r="U16" s="20">
        <f>C16&amp;"|"&amp;E16</f>
        <v/>
      </c>
      <c r="V16" s="20">
        <f>IF(A16="","",IFERROR(VALUE(MID(A16,4,4)),0))</f>
        <v/>
      </c>
      <c r="W16" s="20">
        <f>IFERROR(MATCH(C16,Departments!$B$2:$B$13,0),"")</f>
        <v/>
      </c>
    </row>
    <row r="17">
      <c r="A17" s="14" t="inlineStr">
        <is>
          <t>STF0027</t>
        </is>
      </c>
      <c r="B17" s="14" t="inlineStr">
        <is>
          <t>Dr. Prakash Gowda</t>
        </is>
      </c>
      <c r="C17" s="14" t="inlineStr">
        <is>
          <t>Orthopaedics</t>
        </is>
      </c>
      <c r="D17" s="14" t="inlineStr">
        <is>
          <t>MS (Ortho)</t>
        </is>
      </c>
      <c r="E17" s="14" t="inlineStr">
        <is>
          <t>Associate Professor</t>
        </is>
      </c>
      <c r="F17" s="14" t="inlineStr">
        <is>
          <t>Permanent</t>
        </is>
      </c>
      <c r="G17" s="15" t="n">
        <v>16</v>
      </c>
      <c r="H17" s="16" t="n">
        <v>40497</v>
      </c>
      <c r="I17" s="17" t="inlineStr">
        <is>
          <t>9845013562</t>
        </is>
      </c>
      <c r="J17" s="14" t="inlineStr">
        <is>
          <t>prakash.gowda@ani-healthcareservices.example</t>
        </is>
      </c>
      <c r="K17" s="15" t="inlineStr">
        <is>
          <t>Active</t>
        </is>
      </c>
      <c r="L17" s="15" t="inlineStr">
        <is>
          <t>Yes</t>
        </is>
      </c>
      <c r="M17" s="15" t="inlineStr">
        <is>
          <t>Full</t>
        </is>
      </c>
      <c r="N17" s="15" t="inlineStr">
        <is>
          <t>Full</t>
        </is>
      </c>
      <c r="O17" s="15" t="inlineStr">
        <is>
          <t>Off</t>
        </is>
      </c>
      <c r="P17" s="15" t="inlineStr">
        <is>
          <t>Full</t>
        </is>
      </c>
      <c r="Q17" s="15" t="inlineStr">
        <is>
          <t>Full</t>
        </is>
      </c>
      <c r="R17" s="15" t="inlineStr">
        <is>
          <t>Full</t>
        </is>
      </c>
      <c r="S17" s="18">
        <f>IF(A17="","",COUNTIF(M17:R17,"Full")*2+COUNTIF(M17:R17,"AM")+COUNTIF(M17:R17,"PM"))</f>
        <v/>
      </c>
      <c r="T17" s="19">
        <f>IF(A17="","",IF(COUNTIF($A$2:$A$200,A17)&gt;1,"Duplicate Staff ID",IF(COUNTA(B17:I17)+COUNTA(K17:L17)&lt;10,"Fill in all details",IF($W17="","Pick a department",IF(COUNTIF(M17:R17,"Off")=6,"No OPD days set",IF((M17&lt;&gt;"Off")*(INDEX(Departments!$D$2:$D$13,$W17)="Closed")+(N17&lt;&gt;"Off")*(INDEX(Departments!$E$2:$E$13,$W17)="Closed")+(O17&lt;&gt;"Off")*(INDEX(Departments!$F$2:$F$13,$W17)="Closed")+(P17&lt;&gt;"Off")*(INDEX(Departments!$G$2:$G$13,$W17)="Closed")+(Q17&lt;&gt;"Off")*(INDEX(Departments!$H$2:$H$13,$W17)="Closed")+(R17&lt;&gt;"Off")*(INDEX(Departments!$I$2:$I$13,$W17)="Closed")&gt;0,"Note: works on a closed OPD day","OK"))))))</f>
        <v/>
      </c>
      <c r="U17" s="20">
        <f>C17&amp;"|"&amp;E17</f>
        <v/>
      </c>
      <c r="V17" s="20">
        <f>IF(A17="","",IFERROR(VALUE(MID(A17,4,4)),0))</f>
        <v/>
      </c>
      <c r="W17" s="20">
        <f>IFERROR(MATCH(C17,Departments!$B$2:$B$13,0),"")</f>
        <v/>
      </c>
    </row>
    <row r="18">
      <c r="A18" s="14" t="inlineStr">
        <is>
          <t>STF0028</t>
        </is>
      </c>
      <c r="B18" s="14" t="inlineStr">
        <is>
          <t>Dr. Divya Krishnan</t>
        </is>
      </c>
      <c r="C18" s="14" t="inlineStr">
        <is>
          <t>Orthopaedics</t>
        </is>
      </c>
      <c r="D18" s="14" t="inlineStr">
        <is>
          <t>MS (Ortho), Fellowship Sports Medicine</t>
        </is>
      </c>
      <c r="E18" s="14" t="inlineStr">
        <is>
          <t>Assistant Professor</t>
        </is>
      </c>
      <c r="F18" s="14" t="inlineStr">
        <is>
          <t>Contract</t>
        </is>
      </c>
      <c r="G18" s="15" t="n">
        <v>7</v>
      </c>
      <c r="H18" s="16" t="n">
        <v>43486</v>
      </c>
      <c r="I18" s="17" t="inlineStr">
        <is>
          <t>9845013699</t>
        </is>
      </c>
      <c r="J18" s="14" t="inlineStr">
        <is>
          <t>divya.krishnan@ani-healthcareservices.example</t>
        </is>
      </c>
      <c r="K18" s="15" t="inlineStr">
        <is>
          <t>Active</t>
        </is>
      </c>
      <c r="L18" s="15" t="inlineStr">
        <is>
          <t>Yes</t>
        </is>
      </c>
      <c r="M18" s="15" t="inlineStr">
        <is>
          <t>Full</t>
        </is>
      </c>
      <c r="N18" s="15" t="inlineStr">
        <is>
          <t>Full</t>
        </is>
      </c>
      <c r="O18" s="15" t="inlineStr">
        <is>
          <t>Off</t>
        </is>
      </c>
      <c r="P18" s="15" t="inlineStr">
        <is>
          <t>Full</t>
        </is>
      </c>
      <c r="Q18" s="15" t="inlineStr">
        <is>
          <t>Full</t>
        </is>
      </c>
      <c r="R18" s="15" t="inlineStr">
        <is>
          <t>Full</t>
        </is>
      </c>
      <c r="S18" s="18">
        <f>IF(A18="","",COUNTIF(M18:R18,"Full")*2+COUNTIF(M18:R18,"AM")+COUNTIF(M18:R18,"PM"))</f>
        <v/>
      </c>
      <c r="T18" s="19">
        <f>IF(A18="","",IF(COUNTIF($A$2:$A$200,A18)&gt;1,"Duplicate Staff ID",IF(COUNTA(B18:I18)+COUNTA(K18:L18)&lt;10,"Fill in all details",IF($W18="","Pick a department",IF(COUNTIF(M18:R18,"Off")=6,"No OPD days set",IF((M18&lt;&gt;"Off")*(INDEX(Departments!$D$2:$D$13,$W18)="Closed")+(N18&lt;&gt;"Off")*(INDEX(Departments!$E$2:$E$13,$W18)="Closed")+(O18&lt;&gt;"Off")*(INDEX(Departments!$F$2:$F$13,$W18)="Closed")+(P18&lt;&gt;"Off")*(INDEX(Departments!$G$2:$G$13,$W18)="Closed")+(Q18&lt;&gt;"Off")*(INDEX(Departments!$H$2:$H$13,$W18)="Closed")+(R18&lt;&gt;"Off")*(INDEX(Departments!$I$2:$I$13,$W18)="Closed")&gt;0,"Note: works on a closed OPD day","OK"))))))</f>
        <v/>
      </c>
      <c r="U18" s="20">
        <f>C18&amp;"|"&amp;E18</f>
        <v/>
      </c>
      <c r="V18" s="20">
        <f>IF(A18="","",IFERROR(VALUE(MID(A18,4,4)),0))</f>
        <v/>
      </c>
      <c r="W18" s="20">
        <f>IFERROR(MATCH(C18,Departments!$B$2:$B$13,0),"")</f>
        <v/>
      </c>
    </row>
    <row r="19">
      <c r="A19" s="14" t="inlineStr">
        <is>
          <t>STF0029</t>
        </is>
      </c>
      <c r="B19" s="14" t="inlineStr">
        <is>
          <t>Dr. Usha Narayan</t>
        </is>
      </c>
      <c r="C19" s="14" t="inlineStr">
        <is>
          <t>Obstetrics &amp; Gynaecology</t>
        </is>
      </c>
      <c r="D19" s="14" t="inlineStr">
        <is>
          <t>MS (OBG)</t>
        </is>
      </c>
      <c r="E19" s="14" t="inlineStr">
        <is>
          <t>Professor</t>
        </is>
      </c>
      <c r="F19" s="14" t="inlineStr">
        <is>
          <t>Permanent</t>
        </is>
      </c>
      <c r="G19" s="15" t="n">
        <v>21</v>
      </c>
      <c r="H19" s="16" t="n">
        <v>38516</v>
      </c>
      <c r="I19" s="17" t="inlineStr">
        <is>
          <t>9845013836</t>
        </is>
      </c>
      <c r="J19" s="14" t="inlineStr">
        <is>
          <t>usha.narayan@ani-healthcareservices.example</t>
        </is>
      </c>
      <c r="K19" s="15" t="inlineStr">
        <is>
          <t>Active</t>
        </is>
      </c>
      <c r="L19" s="15" t="inlineStr">
        <is>
          <t>Yes</t>
        </is>
      </c>
      <c r="M19" s="15" t="inlineStr">
        <is>
          <t>Full</t>
        </is>
      </c>
      <c r="N19" s="15" t="inlineStr">
        <is>
          <t>Full</t>
        </is>
      </c>
      <c r="O19" s="15" t="inlineStr">
        <is>
          <t>Full</t>
        </is>
      </c>
      <c r="P19" s="15" t="inlineStr">
        <is>
          <t>Full</t>
        </is>
      </c>
      <c r="Q19" s="15" t="inlineStr">
        <is>
          <t>Full</t>
        </is>
      </c>
      <c r="R19" s="15" t="inlineStr">
        <is>
          <t>AM</t>
        </is>
      </c>
      <c r="S19" s="18">
        <f>IF(A19="","",COUNTIF(M19:R19,"Full")*2+COUNTIF(M19:R19,"AM")+COUNTIF(M19:R19,"PM"))</f>
        <v/>
      </c>
      <c r="T19" s="19">
        <f>IF(A19="","",IF(COUNTIF($A$2:$A$200,A19)&gt;1,"Duplicate Staff ID",IF(COUNTA(B19:I19)+COUNTA(K19:L19)&lt;10,"Fill in all details",IF($W19="","Pick a department",IF(COUNTIF(M19:R19,"Off")=6,"No OPD days set",IF((M19&lt;&gt;"Off")*(INDEX(Departments!$D$2:$D$13,$W19)="Closed")+(N19&lt;&gt;"Off")*(INDEX(Departments!$E$2:$E$13,$W19)="Closed")+(O19&lt;&gt;"Off")*(INDEX(Departments!$F$2:$F$13,$W19)="Closed")+(P19&lt;&gt;"Off")*(INDEX(Departments!$G$2:$G$13,$W19)="Closed")+(Q19&lt;&gt;"Off")*(INDEX(Departments!$H$2:$H$13,$W19)="Closed")+(R19&lt;&gt;"Off")*(INDEX(Departments!$I$2:$I$13,$W19)="Closed")&gt;0,"Note: works on a closed OPD day","OK"))))))</f>
        <v/>
      </c>
      <c r="U19" s="20">
        <f>C19&amp;"|"&amp;E19</f>
        <v/>
      </c>
      <c r="V19" s="20">
        <f>IF(A19="","",IFERROR(VALUE(MID(A19,4,4)),0))</f>
        <v/>
      </c>
      <c r="W19" s="20">
        <f>IFERROR(MATCH(C19,Departments!$B$2:$B$13,0),"")</f>
        <v/>
      </c>
    </row>
    <row r="20">
      <c r="A20" s="14" t="inlineStr">
        <is>
          <t>STF0030</t>
        </is>
      </c>
      <c r="B20" s="14" t="inlineStr">
        <is>
          <t>Dr. Sneha Reddy</t>
        </is>
      </c>
      <c r="C20" s="14" t="inlineStr">
        <is>
          <t>Obstetrics &amp; Gynaecology</t>
        </is>
      </c>
      <c r="D20" s="14" t="inlineStr">
        <is>
          <t>MS (OBG)</t>
        </is>
      </c>
      <c r="E20" s="14" t="inlineStr">
        <is>
          <t>Assistant Professor</t>
        </is>
      </c>
      <c r="F20" s="14" t="inlineStr">
        <is>
          <t>Permanent</t>
        </is>
      </c>
      <c r="G20" s="15" t="n">
        <v>6</v>
      </c>
      <c r="H20" s="16" t="n">
        <v>44018</v>
      </c>
      <c r="I20" s="17" t="inlineStr">
        <is>
          <t>9845013973</t>
        </is>
      </c>
      <c r="J20" s="14" t="inlineStr">
        <is>
          <t>sneha.reddy@ani-healthcareservices.example</t>
        </is>
      </c>
      <c r="K20" s="15" t="inlineStr">
        <is>
          <t>Active</t>
        </is>
      </c>
      <c r="L20" s="15" t="inlineStr">
        <is>
          <t>Yes</t>
        </is>
      </c>
      <c r="M20" s="15" t="inlineStr">
        <is>
          <t>Full</t>
        </is>
      </c>
      <c r="N20" s="15" t="inlineStr">
        <is>
          <t>Full</t>
        </is>
      </c>
      <c r="O20" s="15" t="inlineStr">
        <is>
          <t>Full</t>
        </is>
      </c>
      <c r="P20" s="15" t="inlineStr">
        <is>
          <t>Full</t>
        </is>
      </c>
      <c r="Q20" s="15" t="inlineStr">
        <is>
          <t>Full</t>
        </is>
      </c>
      <c r="R20" s="15" t="inlineStr">
        <is>
          <t>Full</t>
        </is>
      </c>
      <c r="S20" s="18">
        <f>IF(A20="","",COUNTIF(M20:R20,"Full")*2+COUNTIF(M20:R20,"AM")+COUNTIF(M20:R20,"PM"))</f>
        <v/>
      </c>
      <c r="T20" s="19">
        <f>IF(A20="","",IF(COUNTIF($A$2:$A$200,A20)&gt;1,"Duplicate Staff ID",IF(COUNTA(B20:I20)+COUNTA(K20:L20)&lt;10,"Fill in all details",IF($W20="","Pick a department",IF(COUNTIF(M20:R20,"Off")=6,"No OPD days set",IF((M20&lt;&gt;"Off")*(INDEX(Departments!$D$2:$D$13,$W20)="Closed")+(N20&lt;&gt;"Off")*(INDEX(Departments!$E$2:$E$13,$W20)="Closed")+(O20&lt;&gt;"Off")*(INDEX(Departments!$F$2:$F$13,$W20)="Closed")+(P20&lt;&gt;"Off")*(INDEX(Departments!$G$2:$G$13,$W20)="Closed")+(Q20&lt;&gt;"Off")*(INDEX(Departments!$H$2:$H$13,$W20)="Closed")+(R20&lt;&gt;"Off")*(INDEX(Departments!$I$2:$I$13,$W20)="Closed")&gt;0,"Note: works on a closed OPD day","OK"))))))</f>
        <v/>
      </c>
      <c r="U20" s="20">
        <f>C20&amp;"|"&amp;E20</f>
        <v/>
      </c>
      <c r="V20" s="20">
        <f>IF(A20="","",IFERROR(VALUE(MID(A20,4,4)),0))</f>
        <v/>
      </c>
      <c r="W20" s="20">
        <f>IFERROR(MATCH(C20,Departments!$B$2:$B$13,0),"")</f>
        <v/>
      </c>
    </row>
    <row r="21">
      <c r="A21" s="14" t="inlineStr">
        <is>
          <t>STF0031</t>
        </is>
      </c>
      <c r="B21" s="14" t="inlineStr">
        <is>
          <t>Dr. Arvind Kumar</t>
        </is>
      </c>
      <c r="C21" s="14" t="inlineStr">
        <is>
          <t>Paediatrics</t>
        </is>
      </c>
      <c r="D21" s="14" t="inlineStr">
        <is>
          <t>MD (Paediatrics), DM (Neonatology)</t>
        </is>
      </c>
      <c r="E21" s="14" t="inlineStr">
        <is>
          <t>Associate Professor</t>
        </is>
      </c>
      <c r="F21" s="14" t="inlineStr">
        <is>
          <t>Permanent</t>
        </is>
      </c>
      <c r="G21" s="15" t="n">
        <v>13</v>
      </c>
      <c r="H21" s="16" t="n">
        <v>41372</v>
      </c>
      <c r="I21" s="17" t="inlineStr">
        <is>
          <t>9845014110</t>
        </is>
      </c>
      <c r="J21" s="14" t="inlineStr">
        <is>
          <t>arvind.kumar@ani-healthcareservices.example</t>
        </is>
      </c>
      <c r="K21" s="15" t="inlineStr">
        <is>
          <t>Active</t>
        </is>
      </c>
      <c r="L21" s="15" t="inlineStr">
        <is>
          <t>Yes</t>
        </is>
      </c>
      <c r="M21" s="15" t="inlineStr">
        <is>
          <t>Full</t>
        </is>
      </c>
      <c r="N21" s="15" t="inlineStr">
        <is>
          <t>Full</t>
        </is>
      </c>
      <c r="O21" s="15" t="inlineStr">
        <is>
          <t>Full</t>
        </is>
      </c>
      <c r="P21" s="15" t="inlineStr">
        <is>
          <t>Full</t>
        </is>
      </c>
      <c r="Q21" s="15" t="inlineStr">
        <is>
          <t>Full</t>
        </is>
      </c>
      <c r="R21" s="15" t="inlineStr">
        <is>
          <t>Full</t>
        </is>
      </c>
      <c r="S21" s="18">
        <f>IF(A21="","",COUNTIF(M21:R21,"Full")*2+COUNTIF(M21:R21,"AM")+COUNTIF(M21:R21,"PM"))</f>
        <v/>
      </c>
      <c r="T21" s="19">
        <f>IF(A21="","",IF(COUNTIF($A$2:$A$200,A21)&gt;1,"Duplicate Staff ID",IF(COUNTA(B21:I21)+COUNTA(K21:L21)&lt;10,"Fill in all details",IF($W21="","Pick a department",IF(COUNTIF(M21:R21,"Off")=6,"No OPD days set",IF((M21&lt;&gt;"Off")*(INDEX(Departments!$D$2:$D$13,$W21)="Closed")+(N21&lt;&gt;"Off")*(INDEX(Departments!$E$2:$E$13,$W21)="Closed")+(O21&lt;&gt;"Off")*(INDEX(Departments!$F$2:$F$13,$W21)="Closed")+(P21&lt;&gt;"Off")*(INDEX(Departments!$G$2:$G$13,$W21)="Closed")+(Q21&lt;&gt;"Off")*(INDEX(Departments!$H$2:$H$13,$W21)="Closed")+(R21&lt;&gt;"Off")*(INDEX(Departments!$I$2:$I$13,$W21)="Closed")&gt;0,"Note: works on a closed OPD day","OK"))))))</f>
        <v/>
      </c>
      <c r="U21" s="20">
        <f>C21&amp;"|"&amp;E21</f>
        <v/>
      </c>
      <c r="V21" s="20">
        <f>IF(A21="","",IFERROR(VALUE(MID(A21,4,4)),0))</f>
        <v/>
      </c>
      <c r="W21" s="20">
        <f>IFERROR(MATCH(C21,Departments!$B$2:$B$13,0),"")</f>
        <v/>
      </c>
    </row>
    <row r="22">
      <c r="A22" s="14" t="inlineStr">
        <is>
          <t>STF0032</t>
        </is>
      </c>
      <c r="B22" s="14" t="inlineStr">
        <is>
          <t>Dr. Meghana Bhat</t>
        </is>
      </c>
      <c r="C22" s="14" t="inlineStr">
        <is>
          <t>Paediatrics</t>
        </is>
      </c>
      <c r="D22" s="14" t="inlineStr">
        <is>
          <t>MD (Paediatrics)</t>
        </is>
      </c>
      <c r="E22" s="14" t="inlineStr">
        <is>
          <t>Assistant Professor</t>
        </is>
      </c>
      <c r="F22" s="14" t="inlineStr">
        <is>
          <t>Permanent</t>
        </is>
      </c>
      <c r="G22" s="15" t="n">
        <v>5</v>
      </c>
      <c r="H22" s="16" t="n">
        <v>44242</v>
      </c>
      <c r="I22" s="17" t="inlineStr">
        <is>
          <t>9845014247</t>
        </is>
      </c>
      <c r="J22" s="14" t="inlineStr">
        <is>
          <t>meghana.bhat@ani-healthcareservices.example</t>
        </is>
      </c>
      <c r="K22" s="15" t="inlineStr">
        <is>
          <t>Active</t>
        </is>
      </c>
      <c r="L22" s="15" t="inlineStr">
        <is>
          <t>Yes</t>
        </is>
      </c>
      <c r="M22" s="15" t="inlineStr">
        <is>
          <t>Full</t>
        </is>
      </c>
      <c r="N22" s="15" t="inlineStr">
        <is>
          <t>Full</t>
        </is>
      </c>
      <c r="O22" s="15" t="inlineStr">
        <is>
          <t>Full</t>
        </is>
      </c>
      <c r="P22" s="15" t="inlineStr">
        <is>
          <t>Full</t>
        </is>
      </c>
      <c r="Q22" s="15" t="inlineStr">
        <is>
          <t>Full</t>
        </is>
      </c>
      <c r="R22" s="15" t="inlineStr">
        <is>
          <t>AM</t>
        </is>
      </c>
      <c r="S22" s="18">
        <f>IF(A22="","",COUNTIF(M22:R22,"Full")*2+COUNTIF(M22:R22,"AM")+COUNTIF(M22:R22,"PM"))</f>
        <v/>
      </c>
      <c r="T22" s="19">
        <f>IF(A22="","",IF(COUNTIF($A$2:$A$200,A22)&gt;1,"Duplicate Staff ID",IF(COUNTA(B22:I22)+COUNTA(K22:L22)&lt;10,"Fill in all details",IF($W22="","Pick a department",IF(COUNTIF(M22:R22,"Off")=6,"No OPD days set",IF((M22&lt;&gt;"Off")*(INDEX(Departments!$D$2:$D$13,$W22)="Closed")+(N22&lt;&gt;"Off")*(INDEX(Departments!$E$2:$E$13,$W22)="Closed")+(O22&lt;&gt;"Off")*(INDEX(Departments!$F$2:$F$13,$W22)="Closed")+(P22&lt;&gt;"Off")*(INDEX(Departments!$G$2:$G$13,$W22)="Closed")+(Q22&lt;&gt;"Off")*(INDEX(Departments!$H$2:$H$13,$W22)="Closed")+(R22&lt;&gt;"Off")*(INDEX(Departments!$I$2:$I$13,$W22)="Closed")&gt;0,"Note: works on a closed OPD day","OK"))))))</f>
        <v/>
      </c>
      <c r="U22" s="20">
        <f>C22&amp;"|"&amp;E22</f>
        <v/>
      </c>
      <c r="V22" s="20">
        <f>IF(A22="","",IFERROR(VALUE(MID(A22,4,4)),0))</f>
        <v/>
      </c>
      <c r="W22" s="20">
        <f>IFERROR(MATCH(C22,Departments!$B$2:$B$13,0),"")</f>
        <v/>
      </c>
    </row>
    <row r="23">
      <c r="A23" s="14" t="inlineStr">
        <is>
          <t>STF0033</t>
        </is>
      </c>
      <c r="B23" s="14" t="inlineStr">
        <is>
          <t>Dr. Harini Subramanian</t>
        </is>
      </c>
      <c r="C23" s="14" t="inlineStr">
        <is>
          <t>Neurology</t>
        </is>
      </c>
      <c r="D23" s="14" t="inlineStr">
        <is>
          <t>MD, DM (Neurology)</t>
        </is>
      </c>
      <c r="E23" s="14" t="inlineStr">
        <is>
          <t>Associate Professor</t>
        </is>
      </c>
      <c r="F23" s="14" t="inlineStr">
        <is>
          <t>Permanent</t>
        </is>
      </c>
      <c r="G23" s="15" t="n">
        <v>12</v>
      </c>
      <c r="H23" s="16" t="n">
        <v>41913</v>
      </c>
      <c r="I23" s="17" t="inlineStr">
        <is>
          <t>9845014384</t>
        </is>
      </c>
      <c r="J23" s="14" t="inlineStr">
        <is>
          <t>harini.subramanian@ani-healthcareservices.example</t>
        </is>
      </c>
      <c r="K23" s="15" t="inlineStr">
        <is>
          <t>Active</t>
        </is>
      </c>
      <c r="L23" s="15" t="inlineStr">
        <is>
          <t>Yes</t>
        </is>
      </c>
      <c r="M23" s="15" t="inlineStr">
        <is>
          <t>Off</t>
        </is>
      </c>
      <c r="N23" s="15" t="inlineStr">
        <is>
          <t>Full</t>
        </is>
      </c>
      <c r="O23" s="15" t="inlineStr">
        <is>
          <t>Off</t>
        </is>
      </c>
      <c r="P23" s="15" t="inlineStr">
        <is>
          <t>Full</t>
        </is>
      </c>
      <c r="Q23" s="15" t="inlineStr">
        <is>
          <t>Off</t>
        </is>
      </c>
      <c r="R23" s="15" t="inlineStr">
        <is>
          <t>Full</t>
        </is>
      </c>
      <c r="S23" s="18">
        <f>IF(A23="","",COUNTIF(M23:R23,"Full")*2+COUNTIF(M23:R23,"AM")+COUNTIF(M23:R23,"PM"))</f>
        <v/>
      </c>
      <c r="T23" s="19">
        <f>IF(A23="","",IF(COUNTIF($A$2:$A$200,A23)&gt;1,"Duplicate Staff ID",IF(COUNTA(B23:I23)+COUNTA(K23:L23)&lt;10,"Fill in all details",IF($W23="","Pick a department",IF(COUNTIF(M23:R23,"Off")=6,"No OPD days set",IF((M23&lt;&gt;"Off")*(INDEX(Departments!$D$2:$D$13,$W23)="Closed")+(N23&lt;&gt;"Off")*(INDEX(Departments!$E$2:$E$13,$W23)="Closed")+(O23&lt;&gt;"Off")*(INDEX(Departments!$F$2:$F$13,$W23)="Closed")+(P23&lt;&gt;"Off")*(INDEX(Departments!$G$2:$G$13,$W23)="Closed")+(Q23&lt;&gt;"Off")*(INDEX(Departments!$H$2:$H$13,$W23)="Closed")+(R23&lt;&gt;"Off")*(INDEX(Departments!$I$2:$I$13,$W23)="Closed")&gt;0,"Note: works on a closed OPD day","OK"))))))</f>
        <v/>
      </c>
      <c r="U23" s="20">
        <f>C23&amp;"|"&amp;E23</f>
        <v/>
      </c>
      <c r="V23" s="20">
        <f>IF(A23="","",IFERROR(VALUE(MID(A23,4,4)),0))</f>
        <v/>
      </c>
      <c r="W23" s="20">
        <f>IFERROR(MATCH(C23,Departments!$B$2:$B$13,0),"")</f>
        <v/>
      </c>
    </row>
    <row r="24">
      <c r="A24" s="14" t="inlineStr">
        <is>
          <t>STF0034</t>
        </is>
      </c>
      <c r="B24" s="14" t="inlineStr">
        <is>
          <t>Dr. Rahul Deshpande</t>
        </is>
      </c>
      <c r="C24" s="14" t="inlineStr">
        <is>
          <t>Neurology</t>
        </is>
      </c>
      <c r="D24" s="14" t="inlineStr">
        <is>
          <t>MD, DM (Neurology)</t>
        </is>
      </c>
      <c r="E24" s="14" t="inlineStr">
        <is>
          <t>Assistant Professor</t>
        </is>
      </c>
      <c r="F24" s="14" t="inlineStr">
        <is>
          <t>Permanent</t>
        </is>
      </c>
      <c r="G24" s="15" t="n">
        <v>6</v>
      </c>
      <c r="H24" s="16" t="n">
        <v>44088</v>
      </c>
      <c r="I24" s="17" t="inlineStr">
        <is>
          <t>9845014521</t>
        </is>
      </c>
      <c r="J24" s="14" t="inlineStr">
        <is>
          <t>rahul.deshpande@ani-healthcareservices.example</t>
        </is>
      </c>
      <c r="K24" s="15" t="inlineStr">
        <is>
          <t>Active</t>
        </is>
      </c>
      <c r="L24" s="15" t="inlineStr">
        <is>
          <t>Yes</t>
        </is>
      </c>
      <c r="M24" s="15" t="inlineStr">
        <is>
          <t>Off</t>
        </is>
      </c>
      <c r="N24" s="15" t="inlineStr">
        <is>
          <t>Full</t>
        </is>
      </c>
      <c r="O24" s="15" t="inlineStr">
        <is>
          <t>Off</t>
        </is>
      </c>
      <c r="P24" s="15" t="inlineStr">
        <is>
          <t>Full</t>
        </is>
      </c>
      <c r="Q24" s="15" t="inlineStr">
        <is>
          <t>Off</t>
        </is>
      </c>
      <c r="R24" s="15" t="inlineStr">
        <is>
          <t>Full</t>
        </is>
      </c>
      <c r="S24" s="18">
        <f>IF(A24="","",COUNTIF(M24:R24,"Full")*2+COUNTIF(M24:R24,"AM")+COUNTIF(M24:R24,"PM"))</f>
        <v/>
      </c>
      <c r="T24" s="19">
        <f>IF(A24="","",IF(COUNTIF($A$2:$A$200,A24)&gt;1,"Duplicate Staff ID",IF(COUNTA(B24:I24)+COUNTA(K24:L24)&lt;10,"Fill in all details",IF($W24="","Pick a department",IF(COUNTIF(M24:R24,"Off")=6,"No OPD days set",IF((M24&lt;&gt;"Off")*(INDEX(Departments!$D$2:$D$13,$W24)="Closed")+(N24&lt;&gt;"Off")*(INDEX(Departments!$E$2:$E$13,$W24)="Closed")+(O24&lt;&gt;"Off")*(INDEX(Departments!$F$2:$F$13,$W24)="Closed")+(P24&lt;&gt;"Off")*(INDEX(Departments!$G$2:$G$13,$W24)="Closed")+(Q24&lt;&gt;"Off")*(INDEX(Departments!$H$2:$H$13,$W24)="Closed")+(R24&lt;&gt;"Off")*(INDEX(Departments!$I$2:$I$13,$W24)="Closed")&gt;0,"Note: works on a closed OPD day","OK"))))))</f>
        <v/>
      </c>
      <c r="U24" s="20">
        <f>C24&amp;"|"&amp;E24</f>
        <v/>
      </c>
      <c r="V24" s="20">
        <f>IF(A24="","",IFERROR(VALUE(MID(A24,4,4)),0))</f>
        <v/>
      </c>
      <c r="W24" s="20">
        <f>IFERROR(MATCH(C24,Departments!$B$2:$B$13,0),"")</f>
        <v/>
      </c>
    </row>
    <row r="25">
      <c r="A25" s="14" t="inlineStr">
        <is>
          <t>STF0035</t>
        </is>
      </c>
      <c r="B25" s="14" t="inlineStr">
        <is>
          <t>Dr. Manjunath Kamath</t>
        </is>
      </c>
      <c r="C25" s="14" t="inlineStr">
        <is>
          <t>ENT</t>
        </is>
      </c>
      <c r="D25" s="14" t="inlineStr">
        <is>
          <t>MS (ENT)</t>
        </is>
      </c>
      <c r="E25" s="14" t="inlineStr">
        <is>
          <t>Associate Professor</t>
        </is>
      </c>
      <c r="F25" s="14" t="inlineStr">
        <is>
          <t>Permanent</t>
        </is>
      </c>
      <c r="G25" s="15" t="n">
        <v>15</v>
      </c>
      <c r="H25" s="16" t="n">
        <v>40882</v>
      </c>
      <c r="I25" s="17" t="inlineStr">
        <is>
          <t>9845014658</t>
        </is>
      </c>
      <c r="J25" s="14" t="inlineStr">
        <is>
          <t>manjunath.kamath@ani-healthcareservices.example</t>
        </is>
      </c>
      <c r="K25" s="15" t="inlineStr">
        <is>
          <t>Active</t>
        </is>
      </c>
      <c r="L25" s="15" t="inlineStr">
        <is>
          <t>Yes</t>
        </is>
      </c>
      <c r="M25" s="15" t="inlineStr">
        <is>
          <t>Full</t>
        </is>
      </c>
      <c r="N25" s="15" t="inlineStr">
        <is>
          <t>Off</t>
        </is>
      </c>
      <c r="O25" s="15" t="inlineStr">
        <is>
          <t>Full</t>
        </is>
      </c>
      <c r="P25" s="15" t="inlineStr">
        <is>
          <t>Off</t>
        </is>
      </c>
      <c r="Q25" s="15" t="inlineStr">
        <is>
          <t>Full</t>
        </is>
      </c>
      <c r="R25" s="15" t="inlineStr">
        <is>
          <t>Off</t>
        </is>
      </c>
      <c r="S25" s="18">
        <f>IF(A25="","",COUNTIF(M25:R25,"Full")*2+COUNTIF(M25:R25,"AM")+COUNTIF(M25:R25,"PM"))</f>
        <v/>
      </c>
      <c r="T25" s="19">
        <f>IF(A25="","",IF(COUNTIF($A$2:$A$200,A25)&gt;1,"Duplicate Staff ID",IF(COUNTA(B25:I25)+COUNTA(K25:L25)&lt;10,"Fill in all details",IF($W25="","Pick a department",IF(COUNTIF(M25:R25,"Off")=6,"No OPD days set",IF((M25&lt;&gt;"Off")*(INDEX(Departments!$D$2:$D$13,$W25)="Closed")+(N25&lt;&gt;"Off")*(INDEX(Departments!$E$2:$E$13,$W25)="Closed")+(O25&lt;&gt;"Off")*(INDEX(Departments!$F$2:$F$13,$W25)="Closed")+(P25&lt;&gt;"Off")*(INDEX(Departments!$G$2:$G$13,$W25)="Closed")+(Q25&lt;&gt;"Off")*(INDEX(Departments!$H$2:$H$13,$W25)="Closed")+(R25&lt;&gt;"Off")*(INDEX(Departments!$I$2:$I$13,$W25)="Closed")&gt;0,"Note: works on a closed OPD day","OK"))))))</f>
        <v/>
      </c>
      <c r="U25" s="20">
        <f>C25&amp;"|"&amp;E25</f>
        <v/>
      </c>
      <c r="V25" s="20">
        <f>IF(A25="","",IFERROR(VALUE(MID(A25,4,4)),0))</f>
        <v/>
      </c>
      <c r="W25" s="20">
        <f>IFERROR(MATCH(C25,Departments!$B$2:$B$13,0),"")</f>
        <v/>
      </c>
    </row>
    <row r="26">
      <c r="A26" s="14" t="inlineStr">
        <is>
          <t>STF0036</t>
        </is>
      </c>
      <c r="B26" s="14" t="inlineStr">
        <is>
          <t>Dr. Farah Siddiqui</t>
        </is>
      </c>
      <c r="C26" s="14" t="inlineStr">
        <is>
          <t>ENT</t>
        </is>
      </c>
      <c r="D26" s="14" t="inlineStr">
        <is>
          <t>MS (ENT)</t>
        </is>
      </c>
      <c r="E26" s="14" t="inlineStr">
        <is>
          <t>Assistant Professor</t>
        </is>
      </c>
      <c r="F26" s="14" t="inlineStr">
        <is>
          <t>Contract</t>
        </is>
      </c>
      <c r="G26" s="15" t="n">
        <v>5</v>
      </c>
      <c r="H26" s="16" t="n">
        <v>44410</v>
      </c>
      <c r="I26" s="17" t="inlineStr">
        <is>
          <t>9845014795</t>
        </is>
      </c>
      <c r="J26" s="14" t="inlineStr">
        <is>
          <t>farah.siddiqui@ani-healthcareservices.example</t>
        </is>
      </c>
      <c r="K26" s="15" t="inlineStr">
        <is>
          <t>Active</t>
        </is>
      </c>
      <c r="L26" s="15" t="inlineStr">
        <is>
          <t>Yes</t>
        </is>
      </c>
      <c r="M26" s="15" t="inlineStr">
        <is>
          <t>Full</t>
        </is>
      </c>
      <c r="N26" s="15" t="inlineStr">
        <is>
          <t>Off</t>
        </is>
      </c>
      <c r="O26" s="15" t="inlineStr">
        <is>
          <t>Full</t>
        </is>
      </c>
      <c r="P26" s="15" t="inlineStr">
        <is>
          <t>Off</t>
        </is>
      </c>
      <c r="Q26" s="15" t="inlineStr">
        <is>
          <t>Full</t>
        </is>
      </c>
      <c r="R26" s="15" t="inlineStr">
        <is>
          <t>Off</t>
        </is>
      </c>
      <c r="S26" s="18">
        <f>IF(A26="","",COUNTIF(M26:R26,"Full")*2+COUNTIF(M26:R26,"AM")+COUNTIF(M26:R26,"PM"))</f>
        <v/>
      </c>
      <c r="T26" s="19">
        <f>IF(A26="","",IF(COUNTIF($A$2:$A$200,A26)&gt;1,"Duplicate Staff ID",IF(COUNTA(B26:I26)+COUNTA(K26:L26)&lt;10,"Fill in all details",IF($W26="","Pick a department",IF(COUNTIF(M26:R26,"Off")=6,"No OPD days set",IF((M26&lt;&gt;"Off")*(INDEX(Departments!$D$2:$D$13,$W26)="Closed")+(N26&lt;&gt;"Off")*(INDEX(Departments!$E$2:$E$13,$W26)="Closed")+(O26&lt;&gt;"Off")*(INDEX(Departments!$F$2:$F$13,$W26)="Closed")+(P26&lt;&gt;"Off")*(INDEX(Departments!$G$2:$G$13,$W26)="Closed")+(Q26&lt;&gt;"Off")*(INDEX(Departments!$H$2:$H$13,$W26)="Closed")+(R26&lt;&gt;"Off")*(INDEX(Departments!$I$2:$I$13,$W26)="Closed")&gt;0,"Note: works on a closed OPD day","OK"))))))</f>
        <v/>
      </c>
      <c r="U26" s="20">
        <f>C26&amp;"|"&amp;E26</f>
        <v/>
      </c>
      <c r="V26" s="20">
        <f>IF(A26="","",IFERROR(VALUE(MID(A26,4,4)),0))</f>
        <v/>
      </c>
      <c r="W26" s="20">
        <f>IFERROR(MATCH(C26,Departments!$B$2:$B$13,0),"")</f>
        <v/>
      </c>
    </row>
    <row r="27">
      <c r="A27" s="14" t="inlineStr">
        <is>
          <t>STF0037</t>
        </is>
      </c>
      <c r="B27" s="14" t="inlineStr">
        <is>
          <t>Dr. Suresh Iyengar</t>
        </is>
      </c>
      <c r="C27" s="14" t="inlineStr">
        <is>
          <t>Ophthalmology</t>
        </is>
      </c>
      <c r="D27" s="14" t="inlineStr">
        <is>
          <t>MS (Ophthalmology)</t>
        </is>
      </c>
      <c r="E27" s="14" t="inlineStr">
        <is>
          <t>Professor</t>
        </is>
      </c>
      <c r="F27" s="14" t="inlineStr">
        <is>
          <t>Permanent</t>
        </is>
      </c>
      <c r="G27" s="15" t="n">
        <v>23</v>
      </c>
      <c r="H27" s="16" t="n">
        <v>37627</v>
      </c>
      <c r="I27" s="17" t="inlineStr">
        <is>
          <t>9845014932</t>
        </is>
      </c>
      <c r="J27" s="14" t="inlineStr">
        <is>
          <t>suresh.iyengar@ani-healthcareservices.example</t>
        </is>
      </c>
      <c r="K27" s="15" t="inlineStr">
        <is>
          <t>Active</t>
        </is>
      </c>
      <c r="L27" s="15" t="inlineStr">
        <is>
          <t>Yes</t>
        </is>
      </c>
      <c r="M27" s="15" t="inlineStr">
        <is>
          <t>Full</t>
        </is>
      </c>
      <c r="N27" s="15" t="inlineStr">
        <is>
          <t>Full</t>
        </is>
      </c>
      <c r="O27" s="15" t="inlineStr">
        <is>
          <t>Full</t>
        </is>
      </c>
      <c r="P27" s="15" t="inlineStr">
        <is>
          <t>Full</t>
        </is>
      </c>
      <c r="Q27" s="15" t="inlineStr">
        <is>
          <t>Full</t>
        </is>
      </c>
      <c r="R27" s="15" t="inlineStr">
        <is>
          <t>Full</t>
        </is>
      </c>
      <c r="S27" s="18">
        <f>IF(A27="","",COUNTIF(M27:R27,"Full")*2+COUNTIF(M27:R27,"AM")+COUNTIF(M27:R27,"PM"))</f>
        <v/>
      </c>
      <c r="T27" s="19">
        <f>IF(A27="","",IF(COUNTIF($A$2:$A$200,A27)&gt;1,"Duplicate Staff ID",IF(COUNTA(B27:I27)+COUNTA(K27:L27)&lt;10,"Fill in all details",IF($W27="","Pick a department",IF(COUNTIF(M27:R27,"Off")=6,"No OPD days set",IF((M27&lt;&gt;"Off")*(INDEX(Departments!$D$2:$D$13,$W27)="Closed")+(N27&lt;&gt;"Off")*(INDEX(Departments!$E$2:$E$13,$W27)="Closed")+(O27&lt;&gt;"Off")*(INDEX(Departments!$F$2:$F$13,$W27)="Closed")+(P27&lt;&gt;"Off")*(INDEX(Departments!$G$2:$G$13,$W27)="Closed")+(Q27&lt;&gt;"Off")*(INDEX(Departments!$H$2:$H$13,$W27)="Closed")+(R27&lt;&gt;"Off")*(INDEX(Departments!$I$2:$I$13,$W27)="Closed")&gt;0,"Note: works on a closed OPD day","OK"))))))</f>
        <v/>
      </c>
      <c r="U27" s="20">
        <f>C27&amp;"|"&amp;E27</f>
        <v/>
      </c>
      <c r="V27" s="20">
        <f>IF(A27="","",IFERROR(VALUE(MID(A27,4,4)),0))</f>
        <v/>
      </c>
      <c r="W27" s="20">
        <f>IFERROR(MATCH(C27,Departments!$B$2:$B$13,0),"")</f>
        <v/>
      </c>
    </row>
    <row r="28">
      <c r="A28" s="14" t="inlineStr">
        <is>
          <t>STF0038</t>
        </is>
      </c>
      <c r="B28" s="14" t="inlineStr">
        <is>
          <t>Dr. Pooja Nair</t>
        </is>
      </c>
      <c r="C28" s="14" t="inlineStr">
        <is>
          <t>Ophthalmology</t>
        </is>
      </c>
      <c r="D28" s="14" t="inlineStr">
        <is>
          <t>MS (Ophthalmology), FICO</t>
        </is>
      </c>
      <c r="E28" s="14" t="inlineStr">
        <is>
          <t>Assistant Professor</t>
        </is>
      </c>
      <c r="F28" s="14" t="inlineStr">
        <is>
          <t>Permanent</t>
        </is>
      </c>
      <c r="G28" s="15" t="n">
        <v>6</v>
      </c>
      <c r="H28" s="16" t="n">
        <v>43969</v>
      </c>
      <c r="I28" s="17" t="inlineStr">
        <is>
          <t>9845015069</t>
        </is>
      </c>
      <c r="J28" s="14" t="inlineStr">
        <is>
          <t>pooja.nair@ani-healthcareservices.example</t>
        </is>
      </c>
      <c r="K28" s="15" t="inlineStr">
        <is>
          <t>Active</t>
        </is>
      </c>
      <c r="L28" s="15" t="inlineStr">
        <is>
          <t>Yes</t>
        </is>
      </c>
      <c r="M28" s="15" t="inlineStr">
        <is>
          <t>Full</t>
        </is>
      </c>
      <c r="N28" s="15" t="inlineStr">
        <is>
          <t>Full</t>
        </is>
      </c>
      <c r="O28" s="15" t="inlineStr">
        <is>
          <t>Full</t>
        </is>
      </c>
      <c r="P28" s="15" t="inlineStr">
        <is>
          <t>Full</t>
        </is>
      </c>
      <c r="Q28" s="15" t="inlineStr">
        <is>
          <t>Full</t>
        </is>
      </c>
      <c r="R28" s="15" t="inlineStr">
        <is>
          <t>AM</t>
        </is>
      </c>
      <c r="S28" s="18">
        <f>IF(A28="","",COUNTIF(M28:R28,"Full")*2+COUNTIF(M28:R28,"AM")+COUNTIF(M28:R28,"PM"))</f>
        <v/>
      </c>
      <c r="T28" s="19">
        <f>IF(A28="","",IF(COUNTIF($A$2:$A$200,A28)&gt;1,"Duplicate Staff ID",IF(COUNTA(B28:I28)+COUNTA(K28:L28)&lt;10,"Fill in all details",IF($W28="","Pick a department",IF(COUNTIF(M28:R28,"Off")=6,"No OPD days set",IF((M28&lt;&gt;"Off")*(INDEX(Departments!$D$2:$D$13,$W28)="Closed")+(N28&lt;&gt;"Off")*(INDEX(Departments!$E$2:$E$13,$W28)="Closed")+(O28&lt;&gt;"Off")*(INDEX(Departments!$F$2:$F$13,$W28)="Closed")+(P28&lt;&gt;"Off")*(INDEX(Departments!$G$2:$G$13,$W28)="Closed")+(Q28&lt;&gt;"Off")*(INDEX(Departments!$H$2:$H$13,$W28)="Closed")+(R28&lt;&gt;"Off")*(INDEX(Departments!$I$2:$I$13,$W28)="Closed")&gt;0,"Note: works on a closed OPD day","OK"))))))</f>
        <v/>
      </c>
      <c r="U28" s="20">
        <f>C28&amp;"|"&amp;E28</f>
        <v/>
      </c>
      <c r="V28" s="20">
        <f>IF(A28="","",IFERROR(VALUE(MID(A28,4,4)),0))</f>
        <v/>
      </c>
      <c r="W28" s="20">
        <f>IFERROR(MATCH(C28,Departments!$B$2:$B$13,0),"")</f>
        <v/>
      </c>
    </row>
    <row r="29">
      <c r="A29" s="14" t="inlineStr">
        <is>
          <t>STF0010</t>
        </is>
      </c>
      <c r="B29" s="14" t="inlineStr">
        <is>
          <t>Dr. Naveen Reddy</t>
        </is>
      </c>
      <c r="C29" s="14" t="inlineStr">
        <is>
          <t>Emergency Care</t>
        </is>
      </c>
      <c r="D29" s="14" t="inlineStr">
        <is>
          <t>MD (Emergency Medicine)</t>
        </is>
      </c>
      <c r="E29" s="14" t="inlineStr">
        <is>
          <t>Professor &amp; Head</t>
        </is>
      </c>
      <c r="F29" s="14" t="inlineStr">
        <is>
          <t>Permanent</t>
        </is>
      </c>
      <c r="G29" s="15" t="n">
        <v>10</v>
      </c>
      <c r="H29" s="16" t="n">
        <v>42461</v>
      </c>
      <c r="I29" s="17" t="inlineStr">
        <is>
          <t>9845011233</t>
        </is>
      </c>
      <c r="J29" s="14" t="inlineStr">
        <is>
          <t>naveen.reddy@ani-healthcareservices.example</t>
        </is>
      </c>
      <c r="K29" s="15" t="inlineStr">
        <is>
          <t>Active</t>
        </is>
      </c>
      <c r="L29" s="15" t="inlineStr">
        <is>
          <t>Yes</t>
        </is>
      </c>
      <c r="M29" s="15" t="inlineStr">
        <is>
          <t>Full</t>
        </is>
      </c>
      <c r="N29" s="15" t="inlineStr">
        <is>
          <t>Full</t>
        </is>
      </c>
      <c r="O29" s="15" t="inlineStr">
        <is>
          <t>Full</t>
        </is>
      </c>
      <c r="P29" s="15" t="inlineStr">
        <is>
          <t>Full</t>
        </is>
      </c>
      <c r="Q29" s="15" t="inlineStr">
        <is>
          <t>Full</t>
        </is>
      </c>
      <c r="R29" s="15" t="inlineStr">
        <is>
          <t>AM</t>
        </is>
      </c>
      <c r="S29" s="18">
        <f>IF(A29="","",COUNTIF(M29:R29,"Full")*2+COUNTIF(M29:R29,"AM")+COUNTIF(M29:R29,"PM"))</f>
        <v/>
      </c>
      <c r="T29" s="19">
        <f>IF(A29="","",IF(COUNTIF($A$2:$A$200,A29)&gt;1,"Duplicate Staff ID",IF(COUNTA(B29:I29)+COUNTA(K29:L29)&lt;10,"Fill in all details",IF($W29="","Pick a department",IF(COUNTIF(M29:R29,"Off")=6,"No OPD days set",IF((M29&lt;&gt;"Off")*(INDEX(Departments!$D$2:$D$13,$W29)="Closed")+(N29&lt;&gt;"Off")*(INDEX(Departments!$E$2:$E$13,$W29)="Closed")+(O29&lt;&gt;"Off")*(INDEX(Departments!$F$2:$F$13,$W29)="Closed")+(P29&lt;&gt;"Off")*(INDEX(Departments!$G$2:$G$13,$W29)="Closed")+(Q29&lt;&gt;"Off")*(INDEX(Departments!$H$2:$H$13,$W29)="Closed")+(R29&lt;&gt;"Off")*(INDEX(Departments!$I$2:$I$13,$W29)="Closed")&gt;0,"Note: works on a closed OPD day","OK"))))))</f>
        <v/>
      </c>
      <c r="U29" s="20">
        <f>C29&amp;"|"&amp;E29</f>
        <v/>
      </c>
      <c r="V29" s="20">
        <f>IF(A29="","",IFERROR(VALUE(MID(A29,4,4)),0))</f>
        <v/>
      </c>
      <c r="W29" s="20">
        <f>IFERROR(MATCH(C29,Departments!$B$2:$B$13,0),"")</f>
        <v/>
      </c>
    </row>
    <row r="30">
      <c r="A30" s="14" t="inlineStr">
        <is>
          <t>STF0039</t>
        </is>
      </c>
      <c r="B30" s="14" t="inlineStr">
        <is>
          <t>Dr. Abhishek Verma</t>
        </is>
      </c>
      <c r="C30" s="14" t="inlineStr">
        <is>
          <t>Emergency Care</t>
        </is>
      </c>
      <c r="D30" s="14" t="inlineStr">
        <is>
          <t>MD (Emergency Medicine)</t>
        </is>
      </c>
      <c r="E30" s="14" t="inlineStr">
        <is>
          <t>Assistant Professor</t>
        </is>
      </c>
      <c r="F30" s="14" t="inlineStr">
        <is>
          <t>Permanent</t>
        </is>
      </c>
      <c r="G30" s="15" t="n">
        <v>7</v>
      </c>
      <c r="H30" s="16" t="n">
        <v>43535</v>
      </c>
      <c r="I30" s="17" t="inlineStr">
        <is>
          <t>9845015206</t>
        </is>
      </c>
      <c r="J30" s="14" t="inlineStr">
        <is>
          <t>abhishek.verma@ani-healthcareservices.example</t>
        </is>
      </c>
      <c r="K30" s="15" t="inlineStr">
        <is>
          <t>Active</t>
        </is>
      </c>
      <c r="L30" s="15" t="inlineStr">
        <is>
          <t>Yes</t>
        </is>
      </c>
      <c r="M30" s="15" t="inlineStr">
        <is>
          <t>Full</t>
        </is>
      </c>
      <c r="N30" s="15" t="inlineStr">
        <is>
          <t>Full</t>
        </is>
      </c>
      <c r="O30" s="15" t="inlineStr">
        <is>
          <t>Full</t>
        </is>
      </c>
      <c r="P30" s="15" t="inlineStr">
        <is>
          <t>Full</t>
        </is>
      </c>
      <c r="Q30" s="15" t="inlineStr">
        <is>
          <t>Full</t>
        </is>
      </c>
      <c r="R30" s="15" t="inlineStr">
        <is>
          <t>Full</t>
        </is>
      </c>
      <c r="S30" s="18">
        <f>IF(A30="","",COUNTIF(M30:R30,"Full")*2+COUNTIF(M30:R30,"AM")+COUNTIF(M30:R30,"PM"))</f>
        <v/>
      </c>
      <c r="T30" s="19">
        <f>IF(A30="","",IF(COUNTIF($A$2:$A$200,A30)&gt;1,"Duplicate Staff ID",IF(COUNTA(B30:I30)+COUNTA(K30:L30)&lt;10,"Fill in all details",IF($W30="","Pick a department",IF(COUNTIF(M30:R30,"Off")=6,"No OPD days set",IF((M30&lt;&gt;"Off")*(INDEX(Departments!$D$2:$D$13,$W30)="Closed")+(N30&lt;&gt;"Off")*(INDEX(Departments!$E$2:$E$13,$W30)="Closed")+(O30&lt;&gt;"Off")*(INDEX(Departments!$F$2:$F$13,$W30)="Closed")+(P30&lt;&gt;"Off")*(INDEX(Departments!$G$2:$G$13,$W30)="Closed")+(Q30&lt;&gt;"Off")*(INDEX(Departments!$H$2:$H$13,$W30)="Closed")+(R30&lt;&gt;"Off")*(INDEX(Departments!$I$2:$I$13,$W30)="Closed")&gt;0,"Note: works on a closed OPD day","OK"))))))</f>
        <v/>
      </c>
      <c r="U30" s="20">
        <f>C30&amp;"|"&amp;E30</f>
        <v/>
      </c>
      <c r="V30" s="20">
        <f>IF(A30="","",IFERROR(VALUE(MID(A30,4,4)),0))</f>
        <v/>
      </c>
      <c r="W30" s="20">
        <f>IFERROR(MATCH(C30,Departments!$B$2:$B$13,0),"")</f>
        <v/>
      </c>
    </row>
    <row r="31">
      <c r="A31" s="14" t="inlineStr">
        <is>
          <t>STF0040</t>
        </is>
      </c>
      <c r="B31" s="14" t="inlineStr">
        <is>
          <t>Dr. Rekha Joseph</t>
        </is>
      </c>
      <c r="C31" s="14" t="inlineStr">
        <is>
          <t>Emergency Care</t>
        </is>
      </c>
      <c r="D31" s="14" t="inlineStr">
        <is>
          <t>MD (Emergency Medicine)</t>
        </is>
      </c>
      <c r="E31" s="14" t="inlineStr">
        <is>
          <t>Senior Resident</t>
        </is>
      </c>
      <c r="F31" s="14" t="inlineStr">
        <is>
          <t>Contract</t>
        </is>
      </c>
      <c r="G31" s="15" t="n">
        <v>4</v>
      </c>
      <c r="H31" s="16" t="n">
        <v>44746</v>
      </c>
      <c r="I31" s="17" t="inlineStr">
        <is>
          <t>9845015343</t>
        </is>
      </c>
      <c r="J31" s="14" t="inlineStr">
        <is>
          <t>rekha.joseph@ani-healthcareservices.example</t>
        </is>
      </c>
      <c r="K31" s="15" t="inlineStr">
        <is>
          <t>Active</t>
        </is>
      </c>
      <c r="L31" s="15" t="inlineStr">
        <is>
          <t>Yes</t>
        </is>
      </c>
      <c r="M31" s="15" t="inlineStr">
        <is>
          <t>Full</t>
        </is>
      </c>
      <c r="N31" s="15" t="inlineStr">
        <is>
          <t>Full</t>
        </is>
      </c>
      <c r="O31" s="15" t="inlineStr">
        <is>
          <t>Full</t>
        </is>
      </c>
      <c r="P31" s="15" t="inlineStr">
        <is>
          <t>Full</t>
        </is>
      </c>
      <c r="Q31" s="15" t="inlineStr">
        <is>
          <t>Full</t>
        </is>
      </c>
      <c r="R31" s="15" t="inlineStr">
        <is>
          <t>Full</t>
        </is>
      </c>
      <c r="S31" s="18">
        <f>IF(A31="","",COUNTIF(M31:R31,"Full")*2+COUNTIF(M31:R31,"AM")+COUNTIF(M31:R31,"PM"))</f>
        <v/>
      </c>
      <c r="T31" s="19">
        <f>IF(A31="","",IF(COUNTIF($A$2:$A$200,A31)&gt;1,"Duplicate Staff ID",IF(COUNTA(B31:I31)+COUNTA(K31:L31)&lt;10,"Fill in all details",IF($W31="","Pick a department",IF(COUNTIF(M31:R31,"Off")=6,"No OPD days set",IF((M31&lt;&gt;"Off")*(INDEX(Departments!$D$2:$D$13,$W31)="Closed")+(N31&lt;&gt;"Off")*(INDEX(Departments!$E$2:$E$13,$W31)="Closed")+(O31&lt;&gt;"Off")*(INDEX(Departments!$F$2:$F$13,$W31)="Closed")+(P31&lt;&gt;"Off")*(INDEX(Departments!$G$2:$G$13,$W31)="Closed")+(Q31&lt;&gt;"Off")*(INDEX(Departments!$H$2:$H$13,$W31)="Closed")+(R31&lt;&gt;"Off")*(INDEX(Departments!$I$2:$I$13,$W31)="Closed")&gt;0,"Note: works on a closed OPD day","OK"))))))</f>
        <v/>
      </c>
      <c r="U31" s="20">
        <f>C31&amp;"|"&amp;E31</f>
        <v/>
      </c>
      <c r="V31" s="20">
        <f>IF(A31="","",IFERROR(VALUE(MID(A31,4,4)),0))</f>
        <v/>
      </c>
      <c r="W31" s="20">
        <f>IFERROR(MATCH(C31,Departments!$B$2:$B$13,0),"")</f>
        <v/>
      </c>
    </row>
    <row r="32">
      <c r="A32" s="14" t="inlineStr">
        <is>
          <t>STF0045</t>
        </is>
      </c>
      <c r="B32" s="14" t="inlineStr">
        <is>
          <t>Dr. Sunita Rao</t>
        </is>
      </c>
      <c r="C32" s="14" t="inlineStr">
        <is>
          <t>Pathology &amp; Laboratory</t>
        </is>
      </c>
      <c r="D32" s="14" t="inlineStr">
        <is>
          <t>MD (Pathology)</t>
        </is>
      </c>
      <c r="E32" s="14" t="inlineStr">
        <is>
          <t>Professor &amp; Head</t>
        </is>
      </c>
      <c r="F32" s="14" t="inlineStr">
        <is>
          <t>Permanent</t>
        </is>
      </c>
      <c r="G32" s="15" t="n">
        <v>19</v>
      </c>
      <c r="H32" s="16" t="n">
        <v>39295</v>
      </c>
      <c r="I32" s="17" t="inlineStr">
        <is>
          <t>9845016028</t>
        </is>
      </c>
      <c r="J32" s="14" t="inlineStr">
        <is>
          <t>sunita.rao@ani-healthcareservices.example</t>
        </is>
      </c>
      <c r="K32" s="15" t="inlineStr">
        <is>
          <t>Active</t>
        </is>
      </c>
      <c r="L32" s="15" t="inlineStr">
        <is>
          <t>Yes</t>
        </is>
      </c>
      <c r="M32" s="15" t="inlineStr">
        <is>
          <t>Full</t>
        </is>
      </c>
      <c r="N32" s="15" t="inlineStr">
        <is>
          <t>Full</t>
        </is>
      </c>
      <c r="O32" s="15" t="inlineStr">
        <is>
          <t>Full</t>
        </is>
      </c>
      <c r="P32" s="15" t="inlineStr">
        <is>
          <t>Full</t>
        </is>
      </c>
      <c r="Q32" s="15" t="inlineStr">
        <is>
          <t>Full</t>
        </is>
      </c>
      <c r="R32" s="15" t="inlineStr">
        <is>
          <t>Full</t>
        </is>
      </c>
      <c r="S32" s="18">
        <f>IF(A32="","",COUNTIF(M32:R32,"Full")*2+COUNTIF(M32:R32,"AM")+COUNTIF(M32:R32,"PM"))</f>
        <v/>
      </c>
      <c r="T32" s="19">
        <f>IF(A32="","",IF(COUNTIF($A$2:$A$200,A32)&gt;1,"Duplicate Staff ID",IF(COUNTA(B32:I32)+COUNTA(K32:L32)&lt;10,"Fill in all details",IF($W32="","Pick a department",IF(COUNTIF(M32:R32,"Off")=6,"No OPD days set",IF((M32&lt;&gt;"Off")*(INDEX(Departments!$D$2:$D$13,$W32)="Closed")+(N32&lt;&gt;"Off")*(INDEX(Departments!$E$2:$E$13,$W32)="Closed")+(O32&lt;&gt;"Off")*(INDEX(Departments!$F$2:$F$13,$W32)="Closed")+(P32&lt;&gt;"Off")*(INDEX(Departments!$G$2:$G$13,$W32)="Closed")+(Q32&lt;&gt;"Off")*(INDEX(Departments!$H$2:$H$13,$W32)="Closed")+(R32&lt;&gt;"Off")*(INDEX(Departments!$I$2:$I$13,$W32)="Closed")&gt;0,"Note: works on a closed OPD day","OK"))))))</f>
        <v/>
      </c>
      <c r="U32" s="20">
        <f>C32&amp;"|"&amp;E32</f>
        <v/>
      </c>
      <c r="V32" s="20">
        <f>IF(A32="","",IFERROR(VALUE(MID(A32,4,4)),0))</f>
        <v/>
      </c>
      <c r="W32" s="20">
        <f>IFERROR(MATCH(C32,Departments!$B$2:$B$13,0),"")</f>
        <v/>
      </c>
    </row>
    <row r="33">
      <c r="A33" s="14" t="inlineStr">
        <is>
          <t>STF0041</t>
        </is>
      </c>
      <c r="B33" s="14" t="inlineStr">
        <is>
          <t>Dr. Ganesh Murthy</t>
        </is>
      </c>
      <c r="C33" s="14" t="inlineStr">
        <is>
          <t>Pathology &amp; Laboratory</t>
        </is>
      </c>
      <c r="D33" s="14" t="inlineStr">
        <is>
          <t>MD (Pathology)</t>
        </is>
      </c>
      <c r="E33" s="14" t="inlineStr">
        <is>
          <t>Associate Professor</t>
        </is>
      </c>
      <c r="F33" s="14" t="inlineStr">
        <is>
          <t>Permanent</t>
        </is>
      </c>
      <c r="G33" s="15" t="n">
        <v>14</v>
      </c>
      <c r="H33" s="16" t="n">
        <v>41085</v>
      </c>
      <c r="I33" s="17" t="inlineStr">
        <is>
          <t>9845015480</t>
        </is>
      </c>
      <c r="J33" s="14" t="inlineStr">
        <is>
          <t>ganesh.murthy@ani-healthcareservices.example</t>
        </is>
      </c>
      <c r="K33" s="15" t="inlineStr">
        <is>
          <t>Active</t>
        </is>
      </c>
      <c r="L33" s="15" t="inlineStr">
        <is>
          <t>Yes</t>
        </is>
      </c>
      <c r="M33" s="15" t="inlineStr">
        <is>
          <t>Full</t>
        </is>
      </c>
      <c r="N33" s="15" t="inlineStr">
        <is>
          <t>Full</t>
        </is>
      </c>
      <c r="O33" s="15" t="inlineStr">
        <is>
          <t>Full</t>
        </is>
      </c>
      <c r="P33" s="15" t="inlineStr">
        <is>
          <t>Full</t>
        </is>
      </c>
      <c r="Q33" s="15" t="inlineStr">
        <is>
          <t>Full</t>
        </is>
      </c>
      <c r="R33" s="15" t="inlineStr">
        <is>
          <t>AM</t>
        </is>
      </c>
      <c r="S33" s="18">
        <f>IF(A33="","",COUNTIF(M33:R33,"Full")*2+COUNTIF(M33:R33,"AM")+COUNTIF(M33:R33,"PM"))</f>
        <v/>
      </c>
      <c r="T33" s="19">
        <f>IF(A33="","",IF(COUNTIF($A$2:$A$200,A33)&gt;1,"Duplicate Staff ID",IF(COUNTA(B33:I33)+COUNTA(K33:L33)&lt;10,"Fill in all details",IF($W33="","Pick a department",IF(COUNTIF(M33:R33,"Off")=6,"No OPD days set",IF((M33&lt;&gt;"Off")*(INDEX(Departments!$D$2:$D$13,$W33)="Closed")+(N33&lt;&gt;"Off")*(INDEX(Departments!$E$2:$E$13,$W33)="Closed")+(O33&lt;&gt;"Off")*(INDEX(Departments!$F$2:$F$13,$W33)="Closed")+(P33&lt;&gt;"Off")*(INDEX(Departments!$G$2:$G$13,$W33)="Closed")+(Q33&lt;&gt;"Off")*(INDEX(Departments!$H$2:$H$13,$W33)="Closed")+(R33&lt;&gt;"Off")*(INDEX(Departments!$I$2:$I$13,$W33)="Closed")&gt;0,"Note: works on a closed OPD day","OK"))))))</f>
        <v/>
      </c>
      <c r="U33" s="20">
        <f>C33&amp;"|"&amp;E33</f>
        <v/>
      </c>
      <c r="V33" s="20">
        <f>IF(A33="","",IFERROR(VALUE(MID(A33,4,4)),0))</f>
        <v/>
      </c>
      <c r="W33" s="20">
        <f>IFERROR(MATCH(C33,Departments!$B$2:$B$13,0),"")</f>
        <v/>
      </c>
    </row>
    <row r="34">
      <c r="A34" s="14" t="inlineStr">
        <is>
          <t>STF0042</t>
        </is>
      </c>
      <c r="B34" s="14" t="inlineStr">
        <is>
          <t>Dr. Anitha Thomas</t>
        </is>
      </c>
      <c r="C34" s="14" t="inlineStr">
        <is>
          <t>Pathology &amp; Laboratory</t>
        </is>
      </c>
      <c r="D34" s="14" t="inlineStr">
        <is>
          <t>MD (Pathology)</t>
        </is>
      </c>
      <c r="E34" s="14" t="inlineStr">
        <is>
          <t>Assistant Professor</t>
        </is>
      </c>
      <c r="F34" s="14" t="inlineStr">
        <is>
          <t>Permanent</t>
        </is>
      </c>
      <c r="G34" s="15" t="n">
        <v>6</v>
      </c>
      <c r="H34" s="16" t="n">
        <v>44116</v>
      </c>
      <c r="I34" s="17" t="inlineStr">
        <is>
          <t>9845015617</t>
        </is>
      </c>
      <c r="J34" s="14" t="inlineStr">
        <is>
          <t>anitha.thomas@ani-healthcareservices.example</t>
        </is>
      </c>
      <c r="K34" s="15" t="inlineStr">
        <is>
          <t>Active</t>
        </is>
      </c>
      <c r="L34" s="15" t="inlineStr">
        <is>
          <t>Yes</t>
        </is>
      </c>
      <c r="M34" s="15" t="inlineStr">
        <is>
          <t>Full</t>
        </is>
      </c>
      <c r="N34" s="15" t="inlineStr">
        <is>
          <t>Full</t>
        </is>
      </c>
      <c r="O34" s="15" t="inlineStr">
        <is>
          <t>Full</t>
        </is>
      </c>
      <c r="P34" s="15" t="inlineStr">
        <is>
          <t>Full</t>
        </is>
      </c>
      <c r="Q34" s="15" t="inlineStr">
        <is>
          <t>Full</t>
        </is>
      </c>
      <c r="R34" s="15" t="inlineStr">
        <is>
          <t>Full</t>
        </is>
      </c>
      <c r="S34" s="18">
        <f>IF(A34="","",COUNTIF(M34:R34,"Full")*2+COUNTIF(M34:R34,"AM")+COUNTIF(M34:R34,"PM"))</f>
        <v/>
      </c>
      <c r="T34" s="19">
        <f>IF(A34="","",IF(COUNTIF($A$2:$A$200,A34)&gt;1,"Duplicate Staff ID",IF(COUNTA(B34:I34)+COUNTA(K34:L34)&lt;10,"Fill in all details",IF($W34="","Pick a department",IF(COUNTIF(M34:R34,"Off")=6,"No OPD days set",IF((M34&lt;&gt;"Off")*(INDEX(Departments!$D$2:$D$13,$W34)="Closed")+(N34&lt;&gt;"Off")*(INDEX(Departments!$E$2:$E$13,$W34)="Closed")+(O34&lt;&gt;"Off")*(INDEX(Departments!$F$2:$F$13,$W34)="Closed")+(P34&lt;&gt;"Off")*(INDEX(Departments!$G$2:$G$13,$W34)="Closed")+(Q34&lt;&gt;"Off")*(INDEX(Departments!$H$2:$H$13,$W34)="Closed")+(R34&lt;&gt;"Off")*(INDEX(Departments!$I$2:$I$13,$W34)="Closed")&gt;0,"Note: works on a closed OPD day","OK"))))))</f>
        <v/>
      </c>
      <c r="U34" s="20">
        <f>C34&amp;"|"&amp;E34</f>
        <v/>
      </c>
      <c r="V34" s="20">
        <f>IF(A34="","",IFERROR(VALUE(MID(A34,4,4)),0))</f>
        <v/>
      </c>
      <c r="W34" s="20">
        <f>IFERROR(MATCH(C34,Departments!$B$2:$B$13,0),"")</f>
        <v/>
      </c>
    </row>
    <row r="35">
      <c r="A35" s="14" t="inlineStr">
        <is>
          <t>STF0046</t>
        </is>
      </c>
      <c r="B35" s="14" t="inlineStr">
        <is>
          <t>Dr. Imran Khan</t>
        </is>
      </c>
      <c r="C35" s="14" t="inlineStr">
        <is>
          <t>Radiology</t>
        </is>
      </c>
      <c r="D35" s="14" t="inlineStr">
        <is>
          <t>MD (Radio-diagnosis)</t>
        </is>
      </c>
      <c r="E35" s="14" t="inlineStr">
        <is>
          <t>Professor &amp; Head</t>
        </is>
      </c>
      <c r="F35" s="14" t="inlineStr">
        <is>
          <t>Permanent</t>
        </is>
      </c>
      <c r="G35" s="15" t="n">
        <v>18</v>
      </c>
      <c r="H35" s="16" t="n">
        <v>39524</v>
      </c>
      <c r="I35" s="17" t="inlineStr">
        <is>
          <t>9845016165</t>
        </is>
      </c>
      <c r="J35" s="14" t="inlineStr">
        <is>
          <t>imran.khan@ani-healthcareservices.example</t>
        </is>
      </c>
      <c r="K35" s="15" t="inlineStr">
        <is>
          <t>Active</t>
        </is>
      </c>
      <c r="L35" s="15" t="inlineStr">
        <is>
          <t>Yes</t>
        </is>
      </c>
      <c r="M35" s="15" t="inlineStr">
        <is>
          <t>Full</t>
        </is>
      </c>
      <c r="N35" s="15" t="inlineStr">
        <is>
          <t>Full</t>
        </is>
      </c>
      <c r="O35" s="15" t="inlineStr">
        <is>
          <t>Full</t>
        </is>
      </c>
      <c r="P35" s="15" t="inlineStr">
        <is>
          <t>Full</t>
        </is>
      </c>
      <c r="Q35" s="15" t="inlineStr">
        <is>
          <t>Full</t>
        </is>
      </c>
      <c r="R35" s="15" t="inlineStr">
        <is>
          <t>Full</t>
        </is>
      </c>
      <c r="S35" s="18">
        <f>IF(A35="","",COUNTIF(M35:R35,"Full")*2+COUNTIF(M35:R35,"AM")+COUNTIF(M35:R35,"PM"))</f>
        <v/>
      </c>
      <c r="T35" s="19">
        <f>IF(A35="","",IF(COUNTIF($A$2:$A$200,A35)&gt;1,"Duplicate Staff ID",IF(COUNTA(B35:I35)+COUNTA(K35:L35)&lt;10,"Fill in all details",IF($W35="","Pick a department",IF(COUNTIF(M35:R35,"Off")=6,"No OPD days set",IF((M35&lt;&gt;"Off")*(INDEX(Departments!$D$2:$D$13,$W35)="Closed")+(N35&lt;&gt;"Off")*(INDEX(Departments!$E$2:$E$13,$W35)="Closed")+(O35&lt;&gt;"Off")*(INDEX(Departments!$F$2:$F$13,$W35)="Closed")+(P35&lt;&gt;"Off")*(INDEX(Departments!$G$2:$G$13,$W35)="Closed")+(Q35&lt;&gt;"Off")*(INDEX(Departments!$H$2:$H$13,$W35)="Closed")+(R35&lt;&gt;"Off")*(INDEX(Departments!$I$2:$I$13,$W35)="Closed")&gt;0,"Note: works on a closed OPD day","OK"))))))</f>
        <v/>
      </c>
      <c r="U35" s="20">
        <f>C35&amp;"|"&amp;E35</f>
        <v/>
      </c>
      <c r="V35" s="20">
        <f>IF(A35="","",IFERROR(VALUE(MID(A35,4,4)),0))</f>
        <v/>
      </c>
      <c r="W35" s="20">
        <f>IFERROR(MATCH(C35,Departments!$B$2:$B$13,0),"")</f>
        <v/>
      </c>
    </row>
    <row r="36">
      <c r="A36" s="14" t="inlineStr">
        <is>
          <t>STF0043</t>
        </is>
      </c>
      <c r="B36" s="14" t="inlineStr">
        <is>
          <t>Dr. Vivek Sharma</t>
        </is>
      </c>
      <c r="C36" s="14" t="inlineStr">
        <is>
          <t>Radiology</t>
        </is>
      </c>
      <c r="D36" s="14" t="inlineStr">
        <is>
          <t>MD (Radio-diagnosis)</t>
        </is>
      </c>
      <c r="E36" s="14" t="inlineStr">
        <is>
          <t>Associate Professor</t>
        </is>
      </c>
      <c r="F36" s="14" t="inlineStr">
        <is>
          <t>Permanent</t>
        </is>
      </c>
      <c r="G36" s="15" t="n">
        <v>12</v>
      </c>
      <c r="H36" s="16" t="n">
        <v>41687</v>
      </c>
      <c r="I36" s="17" t="inlineStr">
        <is>
          <t>9845015754</t>
        </is>
      </c>
      <c r="J36" s="14" t="inlineStr">
        <is>
          <t>vivek.sharma@ani-healthcareservices.example</t>
        </is>
      </c>
      <c r="K36" s="15" t="inlineStr">
        <is>
          <t>Active</t>
        </is>
      </c>
      <c r="L36" s="15" t="inlineStr">
        <is>
          <t>Yes</t>
        </is>
      </c>
      <c r="M36" s="15" t="inlineStr">
        <is>
          <t>Full</t>
        </is>
      </c>
      <c r="N36" s="15" t="inlineStr">
        <is>
          <t>Full</t>
        </is>
      </c>
      <c r="O36" s="15" t="inlineStr">
        <is>
          <t>Full</t>
        </is>
      </c>
      <c r="P36" s="15" t="inlineStr">
        <is>
          <t>Full</t>
        </is>
      </c>
      <c r="Q36" s="15" t="inlineStr">
        <is>
          <t>Full</t>
        </is>
      </c>
      <c r="R36" s="15" t="inlineStr">
        <is>
          <t>Full</t>
        </is>
      </c>
      <c r="S36" s="18">
        <f>IF(A36="","",COUNTIF(M36:R36,"Full")*2+COUNTIF(M36:R36,"AM")+COUNTIF(M36:R36,"PM"))</f>
        <v/>
      </c>
      <c r="T36" s="19">
        <f>IF(A36="","",IF(COUNTIF($A$2:$A$200,A36)&gt;1,"Duplicate Staff ID",IF(COUNTA(B36:I36)+COUNTA(K36:L36)&lt;10,"Fill in all details",IF($W36="","Pick a department",IF(COUNTIF(M36:R36,"Off")=6,"No OPD days set",IF((M36&lt;&gt;"Off")*(INDEX(Departments!$D$2:$D$13,$W36)="Closed")+(N36&lt;&gt;"Off")*(INDEX(Departments!$E$2:$E$13,$W36)="Closed")+(O36&lt;&gt;"Off")*(INDEX(Departments!$F$2:$F$13,$W36)="Closed")+(P36&lt;&gt;"Off")*(INDEX(Departments!$G$2:$G$13,$W36)="Closed")+(Q36&lt;&gt;"Off")*(INDEX(Departments!$H$2:$H$13,$W36)="Closed")+(R36&lt;&gt;"Off")*(INDEX(Departments!$I$2:$I$13,$W36)="Closed")&gt;0,"Note: works on a closed OPD day","OK"))))))</f>
        <v/>
      </c>
      <c r="U36" s="20">
        <f>C36&amp;"|"&amp;E36</f>
        <v/>
      </c>
      <c r="V36" s="20">
        <f>IF(A36="","",IFERROR(VALUE(MID(A36,4,4)),0))</f>
        <v/>
      </c>
      <c r="W36" s="20">
        <f>IFERROR(MATCH(C36,Departments!$B$2:$B$13,0),"")</f>
        <v/>
      </c>
    </row>
    <row r="37">
      <c r="A37" s="14" t="inlineStr">
        <is>
          <t>STF0044</t>
        </is>
      </c>
      <c r="B37" s="14" t="inlineStr">
        <is>
          <t>Dr. Nisha Agarwal</t>
        </is>
      </c>
      <c r="C37" s="14" t="inlineStr">
        <is>
          <t>Radiology</t>
        </is>
      </c>
      <c r="D37" s="14" t="inlineStr">
        <is>
          <t>DNB (Radiology)</t>
        </is>
      </c>
      <c r="E37" s="14" t="inlineStr">
        <is>
          <t>Assistant Professor</t>
        </is>
      </c>
      <c r="F37" s="14" t="inlineStr">
        <is>
          <t>Permanent</t>
        </is>
      </c>
      <c r="G37" s="15" t="n">
        <v>5</v>
      </c>
      <c r="H37" s="16" t="n">
        <v>44291</v>
      </c>
      <c r="I37" s="17" t="inlineStr">
        <is>
          <t>9845015891</t>
        </is>
      </c>
      <c r="J37" s="14" t="inlineStr">
        <is>
          <t>nisha.agarwal@ani-healthcareservices.example</t>
        </is>
      </c>
      <c r="K37" s="15" t="inlineStr">
        <is>
          <t>Active</t>
        </is>
      </c>
      <c r="L37" s="15" t="inlineStr">
        <is>
          <t>Yes</t>
        </is>
      </c>
      <c r="M37" s="15" t="inlineStr">
        <is>
          <t>Full</t>
        </is>
      </c>
      <c r="N37" s="15" t="inlineStr">
        <is>
          <t>Full</t>
        </is>
      </c>
      <c r="O37" s="15" t="inlineStr">
        <is>
          <t>Full</t>
        </is>
      </c>
      <c r="P37" s="15" t="inlineStr">
        <is>
          <t>Full</t>
        </is>
      </c>
      <c r="Q37" s="15" t="inlineStr">
        <is>
          <t>Full</t>
        </is>
      </c>
      <c r="R37" s="15" t="inlineStr">
        <is>
          <t>AM</t>
        </is>
      </c>
      <c r="S37" s="18">
        <f>IF(A37="","",COUNTIF(M37:R37,"Full")*2+COUNTIF(M37:R37,"AM")+COUNTIF(M37:R37,"PM"))</f>
        <v/>
      </c>
      <c r="T37" s="19">
        <f>IF(A37="","",IF(COUNTIF($A$2:$A$200,A37)&gt;1,"Duplicate Staff ID",IF(COUNTA(B37:I37)+COUNTA(K37:L37)&lt;10,"Fill in all details",IF($W37="","Pick a department",IF(COUNTIF(M37:R37,"Off")=6,"No OPD days set",IF((M37&lt;&gt;"Off")*(INDEX(Departments!$D$2:$D$13,$W37)="Closed")+(N37&lt;&gt;"Off")*(INDEX(Departments!$E$2:$E$13,$W37)="Closed")+(O37&lt;&gt;"Off")*(INDEX(Departments!$F$2:$F$13,$W37)="Closed")+(P37&lt;&gt;"Off")*(INDEX(Departments!$G$2:$G$13,$W37)="Closed")+(Q37&lt;&gt;"Off")*(INDEX(Departments!$H$2:$H$13,$W37)="Closed")+(R37&lt;&gt;"Off")*(INDEX(Departments!$I$2:$I$13,$W37)="Closed")&gt;0,"Note: works on a closed OPD day","OK"))))))</f>
        <v/>
      </c>
      <c r="U37" s="20">
        <f>C37&amp;"|"&amp;E37</f>
        <v/>
      </c>
      <c r="V37" s="20">
        <f>IF(A37="","",IFERROR(VALUE(MID(A37,4,4)),0))</f>
        <v/>
      </c>
      <c r="W37" s="20">
        <f>IFERROR(MATCH(C37,Departments!$B$2:$B$13,0),"")</f>
        <v/>
      </c>
    </row>
    <row r="38">
      <c r="A38" s="14" t="n"/>
      <c r="B38" s="14" t="n"/>
      <c r="C38" s="14" t="n"/>
      <c r="D38" s="14" t="n"/>
      <c r="E38" s="14" t="n"/>
      <c r="F38" s="14" t="n"/>
      <c r="G38" s="15" t="n"/>
      <c r="H38" s="16" t="n"/>
      <c r="I38" s="17" t="n"/>
      <c r="J38" s="14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8">
        <f>IF(A38="","",COUNTIF(M38:R38,"Full")*2+COUNTIF(M38:R38,"AM")+COUNTIF(M38:R38,"PM"))</f>
        <v/>
      </c>
      <c r="T38" s="19">
        <f>IF(A38="","",IF(COUNTIF($A$2:$A$200,A38)&gt;1,"Duplicate Staff ID",IF(COUNTA(B38:I38)+COUNTA(K38:L38)&lt;10,"Fill in all details",IF($W38="","Pick a department",IF(COUNTIF(M38:R38,"Off")=6,"No OPD days set",IF((M38&lt;&gt;"Off")*(INDEX(Departments!$D$2:$D$13,$W38)="Closed")+(N38&lt;&gt;"Off")*(INDEX(Departments!$E$2:$E$13,$W38)="Closed")+(O38&lt;&gt;"Off")*(INDEX(Departments!$F$2:$F$13,$W38)="Closed")+(P38&lt;&gt;"Off")*(INDEX(Departments!$G$2:$G$13,$W38)="Closed")+(Q38&lt;&gt;"Off")*(INDEX(Departments!$H$2:$H$13,$W38)="Closed")+(R38&lt;&gt;"Off")*(INDEX(Departments!$I$2:$I$13,$W38)="Closed")&gt;0,"Note: works on a closed OPD day","OK"))))))</f>
        <v/>
      </c>
      <c r="U38" s="20">
        <f>C38&amp;"|"&amp;E38</f>
        <v/>
      </c>
      <c r="V38" s="20">
        <f>IF(A38="","",IFERROR(VALUE(MID(A38,4,4)),0))</f>
        <v/>
      </c>
      <c r="W38" s="20">
        <f>IFERROR(MATCH(C38,Departments!$B$2:$B$13,0),"")</f>
        <v/>
      </c>
    </row>
    <row r="39">
      <c r="A39" s="14" t="n"/>
      <c r="B39" s="14" t="n"/>
      <c r="C39" s="14" t="n"/>
      <c r="D39" s="14" t="n"/>
      <c r="E39" s="14" t="n"/>
      <c r="F39" s="14" t="n"/>
      <c r="G39" s="15" t="n"/>
      <c r="H39" s="16" t="n"/>
      <c r="I39" s="17" t="n"/>
      <c r="J39" s="14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8">
        <f>IF(A39="","",COUNTIF(M39:R39,"Full")*2+COUNTIF(M39:R39,"AM")+COUNTIF(M39:R39,"PM"))</f>
        <v/>
      </c>
      <c r="T39" s="19">
        <f>IF(A39="","",IF(COUNTIF($A$2:$A$200,A39)&gt;1,"Duplicate Staff ID",IF(COUNTA(B39:I39)+COUNTA(K39:L39)&lt;10,"Fill in all details",IF($W39="","Pick a department",IF(COUNTIF(M39:R39,"Off")=6,"No OPD days set",IF((M39&lt;&gt;"Off")*(INDEX(Departments!$D$2:$D$13,$W39)="Closed")+(N39&lt;&gt;"Off")*(INDEX(Departments!$E$2:$E$13,$W39)="Closed")+(O39&lt;&gt;"Off")*(INDEX(Departments!$F$2:$F$13,$W39)="Closed")+(P39&lt;&gt;"Off")*(INDEX(Departments!$G$2:$G$13,$W39)="Closed")+(Q39&lt;&gt;"Off")*(INDEX(Departments!$H$2:$H$13,$W39)="Closed")+(R39&lt;&gt;"Off")*(INDEX(Departments!$I$2:$I$13,$W39)="Closed")&gt;0,"Note: works on a closed OPD day","OK"))))))</f>
        <v/>
      </c>
      <c r="U39" s="20">
        <f>C39&amp;"|"&amp;E39</f>
        <v/>
      </c>
      <c r="V39" s="20">
        <f>IF(A39="","",IFERROR(VALUE(MID(A39,4,4)),0))</f>
        <v/>
      </c>
      <c r="W39" s="20">
        <f>IFERROR(MATCH(C39,Departments!$B$2:$B$13,0),"")</f>
        <v/>
      </c>
    </row>
    <row r="40">
      <c r="A40" s="14" t="n"/>
      <c r="B40" s="14" t="n"/>
      <c r="C40" s="14" t="n"/>
      <c r="D40" s="14" t="n"/>
      <c r="E40" s="14" t="n"/>
      <c r="F40" s="14" t="n"/>
      <c r="G40" s="15" t="n"/>
      <c r="H40" s="16" t="n"/>
      <c r="I40" s="17" t="n"/>
      <c r="J40" s="14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8">
        <f>IF(A40="","",COUNTIF(M40:R40,"Full")*2+COUNTIF(M40:R40,"AM")+COUNTIF(M40:R40,"PM"))</f>
        <v/>
      </c>
      <c r="T40" s="19">
        <f>IF(A40="","",IF(COUNTIF($A$2:$A$200,A40)&gt;1,"Duplicate Staff ID",IF(COUNTA(B40:I40)+COUNTA(K40:L40)&lt;10,"Fill in all details",IF($W40="","Pick a department",IF(COUNTIF(M40:R40,"Off")=6,"No OPD days set",IF((M40&lt;&gt;"Off")*(INDEX(Departments!$D$2:$D$13,$W40)="Closed")+(N40&lt;&gt;"Off")*(INDEX(Departments!$E$2:$E$13,$W40)="Closed")+(O40&lt;&gt;"Off")*(INDEX(Departments!$F$2:$F$13,$W40)="Closed")+(P40&lt;&gt;"Off")*(INDEX(Departments!$G$2:$G$13,$W40)="Closed")+(Q40&lt;&gt;"Off")*(INDEX(Departments!$H$2:$H$13,$W40)="Closed")+(R40&lt;&gt;"Off")*(INDEX(Departments!$I$2:$I$13,$W40)="Closed")&gt;0,"Note: works on a closed OPD day","OK"))))))</f>
        <v/>
      </c>
      <c r="U40" s="20">
        <f>C40&amp;"|"&amp;E40</f>
        <v/>
      </c>
      <c r="V40" s="20">
        <f>IF(A40="","",IFERROR(VALUE(MID(A40,4,4)),0))</f>
        <v/>
      </c>
      <c r="W40" s="20">
        <f>IFERROR(MATCH(C40,Departments!$B$2:$B$13,0),"")</f>
        <v/>
      </c>
    </row>
    <row r="41">
      <c r="A41" s="14" t="n"/>
      <c r="B41" s="14" t="n"/>
      <c r="C41" s="14" t="n"/>
      <c r="D41" s="14" t="n"/>
      <c r="E41" s="14" t="n"/>
      <c r="F41" s="14" t="n"/>
      <c r="G41" s="15" t="n"/>
      <c r="H41" s="16" t="n"/>
      <c r="I41" s="17" t="n"/>
      <c r="J41" s="14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8">
        <f>IF(A41="","",COUNTIF(M41:R41,"Full")*2+COUNTIF(M41:R41,"AM")+COUNTIF(M41:R41,"PM"))</f>
        <v/>
      </c>
      <c r="T41" s="19">
        <f>IF(A41="","",IF(COUNTIF($A$2:$A$200,A41)&gt;1,"Duplicate Staff ID",IF(COUNTA(B41:I41)+COUNTA(K41:L41)&lt;10,"Fill in all details",IF($W41="","Pick a department",IF(COUNTIF(M41:R41,"Off")=6,"No OPD days set",IF((M41&lt;&gt;"Off")*(INDEX(Departments!$D$2:$D$13,$W41)="Closed")+(N41&lt;&gt;"Off")*(INDEX(Departments!$E$2:$E$13,$W41)="Closed")+(O41&lt;&gt;"Off")*(INDEX(Departments!$F$2:$F$13,$W41)="Closed")+(P41&lt;&gt;"Off")*(INDEX(Departments!$G$2:$G$13,$W41)="Closed")+(Q41&lt;&gt;"Off")*(INDEX(Departments!$H$2:$H$13,$W41)="Closed")+(R41&lt;&gt;"Off")*(INDEX(Departments!$I$2:$I$13,$W41)="Closed")&gt;0,"Note: works on a closed OPD day","OK"))))))</f>
        <v/>
      </c>
      <c r="U41" s="20">
        <f>C41&amp;"|"&amp;E41</f>
        <v/>
      </c>
      <c r="V41" s="20">
        <f>IF(A41="","",IFERROR(VALUE(MID(A41,4,4)),0))</f>
        <v/>
      </c>
      <c r="W41" s="20">
        <f>IFERROR(MATCH(C41,Departments!$B$2:$B$13,0),"")</f>
        <v/>
      </c>
    </row>
    <row r="42">
      <c r="A42" s="14" t="n"/>
      <c r="B42" s="14" t="n"/>
      <c r="C42" s="14" t="n"/>
      <c r="D42" s="14" t="n"/>
      <c r="E42" s="14" t="n"/>
      <c r="F42" s="14" t="n"/>
      <c r="G42" s="15" t="n"/>
      <c r="H42" s="16" t="n"/>
      <c r="I42" s="17" t="n"/>
      <c r="J42" s="14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8">
        <f>IF(A42="","",COUNTIF(M42:R42,"Full")*2+COUNTIF(M42:R42,"AM")+COUNTIF(M42:R42,"PM"))</f>
        <v/>
      </c>
      <c r="T42" s="19">
        <f>IF(A42="","",IF(COUNTIF($A$2:$A$200,A42)&gt;1,"Duplicate Staff ID",IF(COUNTA(B42:I42)+COUNTA(K42:L42)&lt;10,"Fill in all details",IF($W42="","Pick a department",IF(COUNTIF(M42:R42,"Off")=6,"No OPD days set",IF((M42&lt;&gt;"Off")*(INDEX(Departments!$D$2:$D$13,$W42)="Closed")+(N42&lt;&gt;"Off")*(INDEX(Departments!$E$2:$E$13,$W42)="Closed")+(O42&lt;&gt;"Off")*(INDEX(Departments!$F$2:$F$13,$W42)="Closed")+(P42&lt;&gt;"Off")*(INDEX(Departments!$G$2:$G$13,$W42)="Closed")+(Q42&lt;&gt;"Off")*(INDEX(Departments!$H$2:$H$13,$W42)="Closed")+(R42&lt;&gt;"Off")*(INDEX(Departments!$I$2:$I$13,$W42)="Closed")&gt;0,"Note: works on a closed OPD day","OK"))))))</f>
        <v/>
      </c>
      <c r="U42" s="20">
        <f>C42&amp;"|"&amp;E42</f>
        <v/>
      </c>
      <c r="V42" s="20">
        <f>IF(A42="","",IFERROR(VALUE(MID(A42,4,4)),0))</f>
        <v/>
      </c>
      <c r="W42" s="20">
        <f>IFERROR(MATCH(C42,Departments!$B$2:$B$13,0),"")</f>
        <v/>
      </c>
    </row>
    <row r="43">
      <c r="A43" s="14" t="n"/>
      <c r="B43" s="14" t="n"/>
      <c r="C43" s="14" t="n"/>
      <c r="D43" s="14" t="n"/>
      <c r="E43" s="14" t="n"/>
      <c r="F43" s="14" t="n"/>
      <c r="G43" s="15" t="n"/>
      <c r="H43" s="16" t="n"/>
      <c r="I43" s="17" t="n"/>
      <c r="J43" s="14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8">
        <f>IF(A43="","",COUNTIF(M43:R43,"Full")*2+COUNTIF(M43:R43,"AM")+COUNTIF(M43:R43,"PM"))</f>
        <v/>
      </c>
      <c r="T43" s="19">
        <f>IF(A43="","",IF(COUNTIF($A$2:$A$200,A43)&gt;1,"Duplicate Staff ID",IF(COUNTA(B43:I43)+COUNTA(K43:L43)&lt;10,"Fill in all details",IF($W43="","Pick a department",IF(COUNTIF(M43:R43,"Off")=6,"No OPD days set",IF((M43&lt;&gt;"Off")*(INDEX(Departments!$D$2:$D$13,$W43)="Closed")+(N43&lt;&gt;"Off")*(INDEX(Departments!$E$2:$E$13,$W43)="Closed")+(O43&lt;&gt;"Off")*(INDEX(Departments!$F$2:$F$13,$W43)="Closed")+(P43&lt;&gt;"Off")*(INDEX(Departments!$G$2:$G$13,$W43)="Closed")+(Q43&lt;&gt;"Off")*(INDEX(Departments!$H$2:$H$13,$W43)="Closed")+(R43&lt;&gt;"Off")*(INDEX(Departments!$I$2:$I$13,$W43)="Closed")&gt;0,"Note: works on a closed OPD day","OK"))))))</f>
        <v/>
      </c>
      <c r="U43" s="20">
        <f>C43&amp;"|"&amp;E43</f>
        <v/>
      </c>
      <c r="V43" s="20">
        <f>IF(A43="","",IFERROR(VALUE(MID(A43,4,4)),0))</f>
        <v/>
      </c>
      <c r="W43" s="20">
        <f>IFERROR(MATCH(C43,Departments!$B$2:$B$13,0),"")</f>
        <v/>
      </c>
    </row>
    <row r="44">
      <c r="A44" s="14" t="n"/>
      <c r="B44" s="14" t="n"/>
      <c r="C44" s="14" t="n"/>
      <c r="D44" s="14" t="n"/>
      <c r="E44" s="14" t="n"/>
      <c r="F44" s="14" t="n"/>
      <c r="G44" s="15" t="n"/>
      <c r="H44" s="16" t="n"/>
      <c r="I44" s="17" t="n"/>
      <c r="J44" s="14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8">
        <f>IF(A44="","",COUNTIF(M44:R44,"Full")*2+COUNTIF(M44:R44,"AM")+COUNTIF(M44:R44,"PM"))</f>
        <v/>
      </c>
      <c r="T44" s="19">
        <f>IF(A44="","",IF(COUNTIF($A$2:$A$200,A44)&gt;1,"Duplicate Staff ID",IF(COUNTA(B44:I44)+COUNTA(K44:L44)&lt;10,"Fill in all details",IF($W44="","Pick a department",IF(COUNTIF(M44:R44,"Off")=6,"No OPD days set",IF((M44&lt;&gt;"Off")*(INDEX(Departments!$D$2:$D$13,$W44)="Closed")+(N44&lt;&gt;"Off")*(INDEX(Departments!$E$2:$E$13,$W44)="Closed")+(O44&lt;&gt;"Off")*(INDEX(Departments!$F$2:$F$13,$W44)="Closed")+(P44&lt;&gt;"Off")*(INDEX(Departments!$G$2:$G$13,$W44)="Closed")+(Q44&lt;&gt;"Off")*(INDEX(Departments!$H$2:$H$13,$W44)="Closed")+(R44&lt;&gt;"Off")*(INDEX(Departments!$I$2:$I$13,$W44)="Closed")&gt;0,"Note: works on a closed OPD day","OK"))))))</f>
        <v/>
      </c>
      <c r="U44" s="20">
        <f>C44&amp;"|"&amp;E44</f>
        <v/>
      </c>
      <c r="V44" s="20">
        <f>IF(A44="","",IFERROR(VALUE(MID(A44,4,4)),0))</f>
        <v/>
      </c>
      <c r="W44" s="20">
        <f>IFERROR(MATCH(C44,Departments!$B$2:$B$13,0),"")</f>
        <v/>
      </c>
    </row>
    <row r="45">
      <c r="A45" s="14" t="n"/>
      <c r="B45" s="14" t="n"/>
      <c r="C45" s="14" t="n"/>
      <c r="D45" s="14" t="n"/>
      <c r="E45" s="14" t="n"/>
      <c r="F45" s="14" t="n"/>
      <c r="G45" s="15" t="n"/>
      <c r="H45" s="16" t="n"/>
      <c r="I45" s="17" t="n"/>
      <c r="J45" s="14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8">
        <f>IF(A45="","",COUNTIF(M45:R45,"Full")*2+COUNTIF(M45:R45,"AM")+COUNTIF(M45:R45,"PM"))</f>
        <v/>
      </c>
      <c r="T45" s="19">
        <f>IF(A45="","",IF(COUNTIF($A$2:$A$200,A45)&gt;1,"Duplicate Staff ID",IF(COUNTA(B45:I45)+COUNTA(K45:L45)&lt;10,"Fill in all details",IF($W45="","Pick a department",IF(COUNTIF(M45:R45,"Off")=6,"No OPD days set",IF((M45&lt;&gt;"Off")*(INDEX(Departments!$D$2:$D$13,$W45)="Closed")+(N45&lt;&gt;"Off")*(INDEX(Departments!$E$2:$E$13,$W45)="Closed")+(O45&lt;&gt;"Off")*(INDEX(Departments!$F$2:$F$13,$W45)="Closed")+(P45&lt;&gt;"Off")*(INDEX(Departments!$G$2:$G$13,$W45)="Closed")+(Q45&lt;&gt;"Off")*(INDEX(Departments!$H$2:$H$13,$W45)="Closed")+(R45&lt;&gt;"Off")*(INDEX(Departments!$I$2:$I$13,$W45)="Closed")&gt;0,"Note: works on a closed OPD day","OK"))))))</f>
        <v/>
      </c>
      <c r="U45" s="20">
        <f>C45&amp;"|"&amp;E45</f>
        <v/>
      </c>
      <c r="V45" s="20">
        <f>IF(A45="","",IFERROR(VALUE(MID(A45,4,4)),0))</f>
        <v/>
      </c>
      <c r="W45" s="20">
        <f>IFERROR(MATCH(C45,Departments!$B$2:$B$13,0),"")</f>
        <v/>
      </c>
    </row>
    <row r="46">
      <c r="A46" s="14" t="n"/>
      <c r="B46" s="14" t="n"/>
      <c r="C46" s="14" t="n"/>
      <c r="D46" s="14" t="n"/>
      <c r="E46" s="14" t="n"/>
      <c r="F46" s="14" t="n"/>
      <c r="G46" s="15" t="n"/>
      <c r="H46" s="16" t="n"/>
      <c r="I46" s="17" t="n"/>
      <c r="J46" s="14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8">
        <f>IF(A46="","",COUNTIF(M46:R46,"Full")*2+COUNTIF(M46:R46,"AM")+COUNTIF(M46:R46,"PM"))</f>
        <v/>
      </c>
      <c r="T46" s="19">
        <f>IF(A46="","",IF(COUNTIF($A$2:$A$200,A46)&gt;1,"Duplicate Staff ID",IF(COUNTA(B46:I46)+COUNTA(K46:L46)&lt;10,"Fill in all details",IF($W46="","Pick a department",IF(COUNTIF(M46:R46,"Off")=6,"No OPD days set",IF((M46&lt;&gt;"Off")*(INDEX(Departments!$D$2:$D$13,$W46)="Closed")+(N46&lt;&gt;"Off")*(INDEX(Departments!$E$2:$E$13,$W46)="Closed")+(O46&lt;&gt;"Off")*(INDEX(Departments!$F$2:$F$13,$W46)="Closed")+(P46&lt;&gt;"Off")*(INDEX(Departments!$G$2:$G$13,$W46)="Closed")+(Q46&lt;&gt;"Off")*(INDEX(Departments!$H$2:$H$13,$W46)="Closed")+(R46&lt;&gt;"Off")*(INDEX(Departments!$I$2:$I$13,$W46)="Closed")&gt;0,"Note: works on a closed OPD day","OK"))))))</f>
        <v/>
      </c>
      <c r="U46" s="20">
        <f>C46&amp;"|"&amp;E46</f>
        <v/>
      </c>
      <c r="V46" s="20">
        <f>IF(A46="","",IFERROR(VALUE(MID(A46,4,4)),0))</f>
        <v/>
      </c>
      <c r="W46" s="20">
        <f>IFERROR(MATCH(C46,Departments!$B$2:$B$13,0),"")</f>
        <v/>
      </c>
    </row>
    <row r="47">
      <c r="A47" s="14" t="n"/>
      <c r="B47" s="14" t="n"/>
      <c r="C47" s="14" t="n"/>
      <c r="D47" s="14" t="n"/>
      <c r="E47" s="14" t="n"/>
      <c r="F47" s="14" t="n"/>
      <c r="G47" s="15" t="n"/>
      <c r="H47" s="16" t="n"/>
      <c r="I47" s="17" t="n"/>
      <c r="J47" s="14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8">
        <f>IF(A47="","",COUNTIF(M47:R47,"Full")*2+COUNTIF(M47:R47,"AM")+COUNTIF(M47:R47,"PM"))</f>
        <v/>
      </c>
      <c r="T47" s="19">
        <f>IF(A47="","",IF(COUNTIF($A$2:$A$200,A47)&gt;1,"Duplicate Staff ID",IF(COUNTA(B47:I47)+COUNTA(K47:L47)&lt;10,"Fill in all details",IF($W47="","Pick a department",IF(COUNTIF(M47:R47,"Off")=6,"No OPD days set",IF((M47&lt;&gt;"Off")*(INDEX(Departments!$D$2:$D$13,$W47)="Closed")+(N47&lt;&gt;"Off")*(INDEX(Departments!$E$2:$E$13,$W47)="Closed")+(O47&lt;&gt;"Off")*(INDEX(Departments!$F$2:$F$13,$W47)="Closed")+(P47&lt;&gt;"Off")*(INDEX(Departments!$G$2:$G$13,$W47)="Closed")+(Q47&lt;&gt;"Off")*(INDEX(Departments!$H$2:$H$13,$W47)="Closed")+(R47&lt;&gt;"Off")*(INDEX(Departments!$I$2:$I$13,$W47)="Closed")&gt;0,"Note: works on a closed OPD day","OK"))))))</f>
        <v/>
      </c>
      <c r="U47" s="20">
        <f>C47&amp;"|"&amp;E47</f>
        <v/>
      </c>
      <c r="V47" s="20">
        <f>IF(A47="","",IFERROR(VALUE(MID(A47,4,4)),0))</f>
        <v/>
      </c>
      <c r="W47" s="20">
        <f>IFERROR(MATCH(C47,Departments!$B$2:$B$13,0),"")</f>
        <v/>
      </c>
    </row>
    <row r="48">
      <c r="A48" s="14" t="n"/>
      <c r="B48" s="14" t="n"/>
      <c r="C48" s="14" t="n"/>
      <c r="D48" s="14" t="n"/>
      <c r="E48" s="14" t="n"/>
      <c r="F48" s="14" t="n"/>
      <c r="G48" s="15" t="n"/>
      <c r="H48" s="16" t="n"/>
      <c r="I48" s="17" t="n"/>
      <c r="J48" s="14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8">
        <f>IF(A48="","",COUNTIF(M48:R48,"Full")*2+COUNTIF(M48:R48,"AM")+COUNTIF(M48:R48,"PM"))</f>
        <v/>
      </c>
      <c r="T48" s="19">
        <f>IF(A48="","",IF(COUNTIF($A$2:$A$200,A48)&gt;1,"Duplicate Staff ID",IF(COUNTA(B48:I48)+COUNTA(K48:L48)&lt;10,"Fill in all details",IF($W48="","Pick a department",IF(COUNTIF(M48:R48,"Off")=6,"No OPD days set",IF((M48&lt;&gt;"Off")*(INDEX(Departments!$D$2:$D$13,$W48)="Closed")+(N48&lt;&gt;"Off")*(INDEX(Departments!$E$2:$E$13,$W48)="Closed")+(O48&lt;&gt;"Off")*(INDEX(Departments!$F$2:$F$13,$W48)="Closed")+(P48&lt;&gt;"Off")*(INDEX(Departments!$G$2:$G$13,$W48)="Closed")+(Q48&lt;&gt;"Off")*(INDEX(Departments!$H$2:$H$13,$W48)="Closed")+(R48&lt;&gt;"Off")*(INDEX(Departments!$I$2:$I$13,$W48)="Closed")&gt;0,"Note: works on a closed OPD day","OK"))))))</f>
        <v/>
      </c>
      <c r="U48" s="20">
        <f>C48&amp;"|"&amp;E48</f>
        <v/>
      </c>
      <c r="V48" s="20">
        <f>IF(A48="","",IFERROR(VALUE(MID(A48,4,4)),0))</f>
        <v/>
      </c>
      <c r="W48" s="20">
        <f>IFERROR(MATCH(C48,Departments!$B$2:$B$13,0),"")</f>
        <v/>
      </c>
    </row>
    <row r="49">
      <c r="A49" s="14" t="n"/>
      <c r="B49" s="14" t="n"/>
      <c r="C49" s="14" t="n"/>
      <c r="D49" s="14" t="n"/>
      <c r="E49" s="14" t="n"/>
      <c r="F49" s="14" t="n"/>
      <c r="G49" s="15" t="n"/>
      <c r="H49" s="16" t="n"/>
      <c r="I49" s="17" t="n"/>
      <c r="J49" s="14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8">
        <f>IF(A49="","",COUNTIF(M49:R49,"Full")*2+COUNTIF(M49:R49,"AM")+COUNTIF(M49:R49,"PM"))</f>
        <v/>
      </c>
      <c r="T49" s="19">
        <f>IF(A49="","",IF(COUNTIF($A$2:$A$200,A49)&gt;1,"Duplicate Staff ID",IF(COUNTA(B49:I49)+COUNTA(K49:L49)&lt;10,"Fill in all details",IF($W49="","Pick a department",IF(COUNTIF(M49:R49,"Off")=6,"No OPD days set",IF((M49&lt;&gt;"Off")*(INDEX(Departments!$D$2:$D$13,$W49)="Closed")+(N49&lt;&gt;"Off")*(INDEX(Departments!$E$2:$E$13,$W49)="Closed")+(O49&lt;&gt;"Off")*(INDEX(Departments!$F$2:$F$13,$W49)="Closed")+(P49&lt;&gt;"Off")*(INDEX(Departments!$G$2:$G$13,$W49)="Closed")+(Q49&lt;&gt;"Off")*(INDEX(Departments!$H$2:$H$13,$W49)="Closed")+(R49&lt;&gt;"Off")*(INDEX(Departments!$I$2:$I$13,$W49)="Closed")&gt;0,"Note: works on a closed OPD day","OK"))))))</f>
        <v/>
      </c>
      <c r="U49" s="20">
        <f>C49&amp;"|"&amp;E49</f>
        <v/>
      </c>
      <c r="V49" s="20">
        <f>IF(A49="","",IFERROR(VALUE(MID(A49,4,4)),0))</f>
        <v/>
      </c>
      <c r="W49" s="20">
        <f>IFERROR(MATCH(C49,Departments!$B$2:$B$13,0),"")</f>
        <v/>
      </c>
    </row>
    <row r="50">
      <c r="A50" s="14" t="n"/>
      <c r="B50" s="14" t="n"/>
      <c r="C50" s="14" t="n"/>
      <c r="D50" s="14" t="n"/>
      <c r="E50" s="14" t="n"/>
      <c r="F50" s="14" t="n"/>
      <c r="G50" s="15" t="n"/>
      <c r="H50" s="16" t="n"/>
      <c r="I50" s="17" t="n"/>
      <c r="J50" s="14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8">
        <f>IF(A50="","",COUNTIF(M50:R50,"Full")*2+COUNTIF(M50:R50,"AM")+COUNTIF(M50:R50,"PM"))</f>
        <v/>
      </c>
      <c r="T50" s="19">
        <f>IF(A50="","",IF(COUNTIF($A$2:$A$200,A50)&gt;1,"Duplicate Staff ID",IF(COUNTA(B50:I50)+COUNTA(K50:L50)&lt;10,"Fill in all details",IF($W50="","Pick a department",IF(COUNTIF(M50:R50,"Off")=6,"No OPD days set",IF((M50&lt;&gt;"Off")*(INDEX(Departments!$D$2:$D$13,$W50)="Closed")+(N50&lt;&gt;"Off")*(INDEX(Departments!$E$2:$E$13,$W50)="Closed")+(O50&lt;&gt;"Off")*(INDEX(Departments!$F$2:$F$13,$W50)="Closed")+(P50&lt;&gt;"Off")*(INDEX(Departments!$G$2:$G$13,$W50)="Closed")+(Q50&lt;&gt;"Off")*(INDEX(Departments!$H$2:$H$13,$W50)="Closed")+(R50&lt;&gt;"Off")*(INDEX(Departments!$I$2:$I$13,$W50)="Closed")&gt;0,"Note: works on a closed OPD day","OK"))))))</f>
        <v/>
      </c>
      <c r="U50" s="20">
        <f>C50&amp;"|"&amp;E50</f>
        <v/>
      </c>
      <c r="V50" s="20">
        <f>IF(A50="","",IFERROR(VALUE(MID(A50,4,4)),0))</f>
        <v/>
      </c>
      <c r="W50" s="20">
        <f>IFERROR(MATCH(C50,Departments!$B$2:$B$13,0),"")</f>
        <v/>
      </c>
    </row>
    <row r="51">
      <c r="A51" s="14" t="n"/>
      <c r="B51" s="14" t="n"/>
      <c r="C51" s="14" t="n"/>
      <c r="D51" s="14" t="n"/>
      <c r="E51" s="14" t="n"/>
      <c r="F51" s="14" t="n"/>
      <c r="G51" s="15" t="n"/>
      <c r="H51" s="16" t="n"/>
      <c r="I51" s="17" t="n"/>
      <c r="J51" s="14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8">
        <f>IF(A51="","",COUNTIF(M51:R51,"Full")*2+COUNTIF(M51:R51,"AM")+COUNTIF(M51:R51,"PM"))</f>
        <v/>
      </c>
      <c r="T51" s="19">
        <f>IF(A51="","",IF(COUNTIF($A$2:$A$200,A51)&gt;1,"Duplicate Staff ID",IF(COUNTA(B51:I51)+COUNTA(K51:L51)&lt;10,"Fill in all details",IF($W51="","Pick a department",IF(COUNTIF(M51:R51,"Off")=6,"No OPD days set",IF((M51&lt;&gt;"Off")*(INDEX(Departments!$D$2:$D$13,$W51)="Closed")+(N51&lt;&gt;"Off")*(INDEX(Departments!$E$2:$E$13,$W51)="Closed")+(O51&lt;&gt;"Off")*(INDEX(Departments!$F$2:$F$13,$W51)="Closed")+(P51&lt;&gt;"Off")*(INDEX(Departments!$G$2:$G$13,$W51)="Closed")+(Q51&lt;&gt;"Off")*(INDEX(Departments!$H$2:$H$13,$W51)="Closed")+(R51&lt;&gt;"Off")*(INDEX(Departments!$I$2:$I$13,$W51)="Closed")&gt;0,"Note: works on a closed OPD day","OK"))))))</f>
        <v/>
      </c>
      <c r="U51" s="20">
        <f>C51&amp;"|"&amp;E51</f>
        <v/>
      </c>
      <c r="V51" s="20">
        <f>IF(A51="","",IFERROR(VALUE(MID(A51,4,4)),0))</f>
        <v/>
      </c>
      <c r="W51" s="20">
        <f>IFERROR(MATCH(C51,Departments!$B$2:$B$13,0),"")</f>
        <v/>
      </c>
    </row>
    <row r="52">
      <c r="A52" s="14" t="n"/>
      <c r="B52" s="14" t="n"/>
      <c r="C52" s="14" t="n"/>
      <c r="D52" s="14" t="n"/>
      <c r="E52" s="14" t="n"/>
      <c r="F52" s="14" t="n"/>
      <c r="G52" s="15" t="n"/>
      <c r="H52" s="16" t="n"/>
      <c r="I52" s="17" t="n"/>
      <c r="J52" s="14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8">
        <f>IF(A52="","",COUNTIF(M52:R52,"Full")*2+COUNTIF(M52:R52,"AM")+COUNTIF(M52:R52,"PM"))</f>
        <v/>
      </c>
      <c r="T52" s="19">
        <f>IF(A52="","",IF(COUNTIF($A$2:$A$200,A52)&gt;1,"Duplicate Staff ID",IF(COUNTA(B52:I52)+COUNTA(K52:L52)&lt;10,"Fill in all details",IF($W52="","Pick a department",IF(COUNTIF(M52:R52,"Off")=6,"No OPD days set",IF((M52&lt;&gt;"Off")*(INDEX(Departments!$D$2:$D$13,$W52)="Closed")+(N52&lt;&gt;"Off")*(INDEX(Departments!$E$2:$E$13,$W52)="Closed")+(O52&lt;&gt;"Off")*(INDEX(Departments!$F$2:$F$13,$W52)="Closed")+(P52&lt;&gt;"Off")*(INDEX(Departments!$G$2:$G$13,$W52)="Closed")+(Q52&lt;&gt;"Off")*(INDEX(Departments!$H$2:$H$13,$W52)="Closed")+(R52&lt;&gt;"Off")*(INDEX(Departments!$I$2:$I$13,$W52)="Closed")&gt;0,"Note: works on a closed OPD day","OK"))))))</f>
        <v/>
      </c>
      <c r="U52" s="20">
        <f>C52&amp;"|"&amp;E52</f>
        <v/>
      </c>
      <c r="V52" s="20">
        <f>IF(A52="","",IFERROR(VALUE(MID(A52,4,4)),0))</f>
        <v/>
      </c>
      <c r="W52" s="20">
        <f>IFERROR(MATCH(C52,Departments!$B$2:$B$13,0),"")</f>
        <v/>
      </c>
    </row>
    <row r="53">
      <c r="A53" s="14" t="n"/>
      <c r="B53" s="14" t="n"/>
      <c r="C53" s="14" t="n"/>
      <c r="D53" s="14" t="n"/>
      <c r="E53" s="14" t="n"/>
      <c r="F53" s="14" t="n"/>
      <c r="G53" s="15" t="n"/>
      <c r="H53" s="16" t="n"/>
      <c r="I53" s="17" t="n"/>
      <c r="J53" s="14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8">
        <f>IF(A53="","",COUNTIF(M53:R53,"Full")*2+COUNTIF(M53:R53,"AM")+COUNTIF(M53:R53,"PM"))</f>
        <v/>
      </c>
      <c r="T53" s="19">
        <f>IF(A53="","",IF(COUNTIF($A$2:$A$200,A53)&gt;1,"Duplicate Staff ID",IF(COUNTA(B53:I53)+COUNTA(K53:L53)&lt;10,"Fill in all details",IF($W53="","Pick a department",IF(COUNTIF(M53:R53,"Off")=6,"No OPD days set",IF((M53&lt;&gt;"Off")*(INDEX(Departments!$D$2:$D$13,$W53)="Closed")+(N53&lt;&gt;"Off")*(INDEX(Departments!$E$2:$E$13,$W53)="Closed")+(O53&lt;&gt;"Off")*(INDEX(Departments!$F$2:$F$13,$W53)="Closed")+(P53&lt;&gt;"Off")*(INDEX(Departments!$G$2:$G$13,$W53)="Closed")+(Q53&lt;&gt;"Off")*(INDEX(Departments!$H$2:$H$13,$W53)="Closed")+(R53&lt;&gt;"Off")*(INDEX(Departments!$I$2:$I$13,$W53)="Closed")&gt;0,"Note: works on a closed OPD day","OK"))))))</f>
        <v/>
      </c>
      <c r="U53" s="20">
        <f>C53&amp;"|"&amp;E53</f>
        <v/>
      </c>
      <c r="V53" s="20">
        <f>IF(A53="","",IFERROR(VALUE(MID(A53,4,4)),0))</f>
        <v/>
      </c>
      <c r="W53" s="20">
        <f>IFERROR(MATCH(C53,Departments!$B$2:$B$13,0),"")</f>
        <v/>
      </c>
    </row>
    <row r="54">
      <c r="A54" s="14" t="n"/>
      <c r="B54" s="14" t="n"/>
      <c r="C54" s="14" t="n"/>
      <c r="D54" s="14" t="n"/>
      <c r="E54" s="14" t="n"/>
      <c r="F54" s="14" t="n"/>
      <c r="G54" s="15" t="n"/>
      <c r="H54" s="16" t="n"/>
      <c r="I54" s="17" t="n"/>
      <c r="J54" s="14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8">
        <f>IF(A54="","",COUNTIF(M54:R54,"Full")*2+COUNTIF(M54:R54,"AM")+COUNTIF(M54:R54,"PM"))</f>
        <v/>
      </c>
      <c r="T54" s="19">
        <f>IF(A54="","",IF(COUNTIF($A$2:$A$200,A54)&gt;1,"Duplicate Staff ID",IF(COUNTA(B54:I54)+COUNTA(K54:L54)&lt;10,"Fill in all details",IF($W54="","Pick a department",IF(COUNTIF(M54:R54,"Off")=6,"No OPD days set",IF((M54&lt;&gt;"Off")*(INDEX(Departments!$D$2:$D$13,$W54)="Closed")+(N54&lt;&gt;"Off")*(INDEX(Departments!$E$2:$E$13,$W54)="Closed")+(O54&lt;&gt;"Off")*(INDEX(Departments!$F$2:$F$13,$W54)="Closed")+(P54&lt;&gt;"Off")*(INDEX(Departments!$G$2:$G$13,$W54)="Closed")+(Q54&lt;&gt;"Off")*(INDEX(Departments!$H$2:$H$13,$W54)="Closed")+(R54&lt;&gt;"Off")*(INDEX(Departments!$I$2:$I$13,$W54)="Closed")&gt;0,"Note: works on a closed OPD day","OK"))))))</f>
        <v/>
      </c>
      <c r="U54" s="20">
        <f>C54&amp;"|"&amp;E54</f>
        <v/>
      </c>
      <c r="V54" s="20">
        <f>IF(A54="","",IFERROR(VALUE(MID(A54,4,4)),0))</f>
        <v/>
      </c>
      <c r="W54" s="20">
        <f>IFERROR(MATCH(C54,Departments!$B$2:$B$13,0),"")</f>
        <v/>
      </c>
    </row>
    <row r="55">
      <c r="A55" s="14" t="n"/>
      <c r="B55" s="14" t="n"/>
      <c r="C55" s="14" t="n"/>
      <c r="D55" s="14" t="n"/>
      <c r="E55" s="14" t="n"/>
      <c r="F55" s="14" t="n"/>
      <c r="G55" s="15" t="n"/>
      <c r="H55" s="16" t="n"/>
      <c r="I55" s="17" t="n"/>
      <c r="J55" s="14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8">
        <f>IF(A55="","",COUNTIF(M55:R55,"Full")*2+COUNTIF(M55:R55,"AM")+COUNTIF(M55:R55,"PM"))</f>
        <v/>
      </c>
      <c r="T55" s="19">
        <f>IF(A55="","",IF(COUNTIF($A$2:$A$200,A55)&gt;1,"Duplicate Staff ID",IF(COUNTA(B55:I55)+COUNTA(K55:L55)&lt;10,"Fill in all details",IF($W55="","Pick a department",IF(COUNTIF(M55:R55,"Off")=6,"No OPD days set",IF((M55&lt;&gt;"Off")*(INDEX(Departments!$D$2:$D$13,$W55)="Closed")+(N55&lt;&gt;"Off")*(INDEX(Departments!$E$2:$E$13,$W55)="Closed")+(O55&lt;&gt;"Off")*(INDEX(Departments!$F$2:$F$13,$W55)="Closed")+(P55&lt;&gt;"Off")*(INDEX(Departments!$G$2:$G$13,$W55)="Closed")+(Q55&lt;&gt;"Off")*(INDEX(Departments!$H$2:$H$13,$W55)="Closed")+(R55&lt;&gt;"Off")*(INDEX(Departments!$I$2:$I$13,$W55)="Closed")&gt;0,"Note: works on a closed OPD day","OK"))))))</f>
        <v/>
      </c>
      <c r="U55" s="20">
        <f>C55&amp;"|"&amp;E55</f>
        <v/>
      </c>
      <c r="V55" s="20">
        <f>IF(A55="","",IFERROR(VALUE(MID(A55,4,4)),0))</f>
        <v/>
      </c>
      <c r="W55" s="20">
        <f>IFERROR(MATCH(C55,Departments!$B$2:$B$13,0),"")</f>
        <v/>
      </c>
    </row>
    <row r="56">
      <c r="A56" s="14" t="n"/>
      <c r="B56" s="14" t="n"/>
      <c r="C56" s="14" t="n"/>
      <c r="D56" s="14" t="n"/>
      <c r="E56" s="14" t="n"/>
      <c r="F56" s="14" t="n"/>
      <c r="G56" s="15" t="n"/>
      <c r="H56" s="16" t="n"/>
      <c r="I56" s="17" t="n"/>
      <c r="J56" s="14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8">
        <f>IF(A56="","",COUNTIF(M56:R56,"Full")*2+COUNTIF(M56:R56,"AM")+COUNTIF(M56:R56,"PM"))</f>
        <v/>
      </c>
      <c r="T56" s="19">
        <f>IF(A56="","",IF(COUNTIF($A$2:$A$200,A56)&gt;1,"Duplicate Staff ID",IF(COUNTA(B56:I56)+COUNTA(K56:L56)&lt;10,"Fill in all details",IF($W56="","Pick a department",IF(COUNTIF(M56:R56,"Off")=6,"No OPD days set",IF((M56&lt;&gt;"Off")*(INDEX(Departments!$D$2:$D$13,$W56)="Closed")+(N56&lt;&gt;"Off")*(INDEX(Departments!$E$2:$E$13,$W56)="Closed")+(O56&lt;&gt;"Off")*(INDEX(Departments!$F$2:$F$13,$W56)="Closed")+(P56&lt;&gt;"Off")*(INDEX(Departments!$G$2:$G$13,$W56)="Closed")+(Q56&lt;&gt;"Off")*(INDEX(Departments!$H$2:$H$13,$W56)="Closed")+(R56&lt;&gt;"Off")*(INDEX(Departments!$I$2:$I$13,$W56)="Closed")&gt;0,"Note: works on a closed OPD day","OK"))))))</f>
        <v/>
      </c>
      <c r="U56" s="20">
        <f>C56&amp;"|"&amp;E56</f>
        <v/>
      </c>
      <c r="V56" s="20">
        <f>IF(A56="","",IFERROR(VALUE(MID(A56,4,4)),0))</f>
        <v/>
      </c>
      <c r="W56" s="20">
        <f>IFERROR(MATCH(C56,Departments!$B$2:$B$13,0),"")</f>
        <v/>
      </c>
    </row>
    <row r="57">
      <c r="A57" s="14" t="n"/>
      <c r="B57" s="14" t="n"/>
      <c r="C57" s="14" t="n"/>
      <c r="D57" s="14" t="n"/>
      <c r="E57" s="14" t="n"/>
      <c r="F57" s="14" t="n"/>
      <c r="G57" s="15" t="n"/>
      <c r="H57" s="16" t="n"/>
      <c r="I57" s="17" t="n"/>
      <c r="J57" s="14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8">
        <f>IF(A57="","",COUNTIF(M57:R57,"Full")*2+COUNTIF(M57:R57,"AM")+COUNTIF(M57:R57,"PM"))</f>
        <v/>
      </c>
      <c r="T57" s="19">
        <f>IF(A57="","",IF(COUNTIF($A$2:$A$200,A57)&gt;1,"Duplicate Staff ID",IF(COUNTA(B57:I57)+COUNTA(K57:L57)&lt;10,"Fill in all details",IF($W57="","Pick a department",IF(COUNTIF(M57:R57,"Off")=6,"No OPD days set",IF((M57&lt;&gt;"Off")*(INDEX(Departments!$D$2:$D$13,$W57)="Closed")+(N57&lt;&gt;"Off")*(INDEX(Departments!$E$2:$E$13,$W57)="Closed")+(O57&lt;&gt;"Off")*(INDEX(Departments!$F$2:$F$13,$W57)="Closed")+(P57&lt;&gt;"Off")*(INDEX(Departments!$G$2:$G$13,$W57)="Closed")+(Q57&lt;&gt;"Off")*(INDEX(Departments!$H$2:$H$13,$W57)="Closed")+(R57&lt;&gt;"Off")*(INDEX(Departments!$I$2:$I$13,$W57)="Closed")&gt;0,"Note: works on a closed OPD day","OK"))))))</f>
        <v/>
      </c>
      <c r="U57" s="20">
        <f>C57&amp;"|"&amp;E57</f>
        <v/>
      </c>
      <c r="V57" s="20">
        <f>IF(A57="","",IFERROR(VALUE(MID(A57,4,4)),0))</f>
        <v/>
      </c>
      <c r="W57" s="20">
        <f>IFERROR(MATCH(C57,Departments!$B$2:$B$13,0),"")</f>
        <v/>
      </c>
    </row>
    <row r="58">
      <c r="A58" s="14" t="n"/>
      <c r="B58" s="14" t="n"/>
      <c r="C58" s="14" t="n"/>
      <c r="D58" s="14" t="n"/>
      <c r="E58" s="14" t="n"/>
      <c r="F58" s="14" t="n"/>
      <c r="G58" s="15" t="n"/>
      <c r="H58" s="16" t="n"/>
      <c r="I58" s="17" t="n"/>
      <c r="J58" s="14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8">
        <f>IF(A58="","",COUNTIF(M58:R58,"Full")*2+COUNTIF(M58:R58,"AM")+COUNTIF(M58:R58,"PM"))</f>
        <v/>
      </c>
      <c r="T58" s="19">
        <f>IF(A58="","",IF(COUNTIF($A$2:$A$200,A58)&gt;1,"Duplicate Staff ID",IF(COUNTA(B58:I58)+COUNTA(K58:L58)&lt;10,"Fill in all details",IF($W58="","Pick a department",IF(COUNTIF(M58:R58,"Off")=6,"No OPD days set",IF((M58&lt;&gt;"Off")*(INDEX(Departments!$D$2:$D$13,$W58)="Closed")+(N58&lt;&gt;"Off")*(INDEX(Departments!$E$2:$E$13,$W58)="Closed")+(O58&lt;&gt;"Off")*(INDEX(Departments!$F$2:$F$13,$W58)="Closed")+(P58&lt;&gt;"Off")*(INDEX(Departments!$G$2:$G$13,$W58)="Closed")+(Q58&lt;&gt;"Off")*(INDEX(Departments!$H$2:$H$13,$W58)="Closed")+(R58&lt;&gt;"Off")*(INDEX(Departments!$I$2:$I$13,$W58)="Closed")&gt;0,"Note: works on a closed OPD day","OK"))))))</f>
        <v/>
      </c>
      <c r="U58" s="20">
        <f>C58&amp;"|"&amp;E58</f>
        <v/>
      </c>
      <c r="V58" s="20">
        <f>IF(A58="","",IFERROR(VALUE(MID(A58,4,4)),0))</f>
        <v/>
      </c>
      <c r="W58" s="20">
        <f>IFERROR(MATCH(C58,Departments!$B$2:$B$13,0),"")</f>
        <v/>
      </c>
    </row>
    <row r="59">
      <c r="A59" s="14" t="n"/>
      <c r="B59" s="14" t="n"/>
      <c r="C59" s="14" t="n"/>
      <c r="D59" s="14" t="n"/>
      <c r="E59" s="14" t="n"/>
      <c r="F59" s="14" t="n"/>
      <c r="G59" s="15" t="n"/>
      <c r="H59" s="16" t="n"/>
      <c r="I59" s="17" t="n"/>
      <c r="J59" s="14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8">
        <f>IF(A59="","",COUNTIF(M59:R59,"Full")*2+COUNTIF(M59:R59,"AM")+COUNTIF(M59:R59,"PM"))</f>
        <v/>
      </c>
      <c r="T59" s="19">
        <f>IF(A59="","",IF(COUNTIF($A$2:$A$200,A59)&gt;1,"Duplicate Staff ID",IF(COUNTA(B59:I59)+COUNTA(K59:L59)&lt;10,"Fill in all details",IF($W59="","Pick a department",IF(COUNTIF(M59:R59,"Off")=6,"No OPD days set",IF((M59&lt;&gt;"Off")*(INDEX(Departments!$D$2:$D$13,$W59)="Closed")+(N59&lt;&gt;"Off")*(INDEX(Departments!$E$2:$E$13,$W59)="Closed")+(O59&lt;&gt;"Off")*(INDEX(Departments!$F$2:$F$13,$W59)="Closed")+(P59&lt;&gt;"Off")*(INDEX(Departments!$G$2:$G$13,$W59)="Closed")+(Q59&lt;&gt;"Off")*(INDEX(Departments!$H$2:$H$13,$W59)="Closed")+(R59&lt;&gt;"Off")*(INDEX(Departments!$I$2:$I$13,$W59)="Closed")&gt;0,"Note: works on a closed OPD day","OK"))))))</f>
        <v/>
      </c>
      <c r="U59" s="20">
        <f>C59&amp;"|"&amp;E59</f>
        <v/>
      </c>
      <c r="V59" s="20">
        <f>IF(A59="","",IFERROR(VALUE(MID(A59,4,4)),0))</f>
        <v/>
      </c>
      <c r="W59" s="20">
        <f>IFERROR(MATCH(C59,Departments!$B$2:$B$13,0),"")</f>
        <v/>
      </c>
    </row>
    <row r="60">
      <c r="A60" s="14" t="n"/>
      <c r="B60" s="14" t="n"/>
      <c r="C60" s="14" t="n"/>
      <c r="D60" s="14" t="n"/>
      <c r="E60" s="14" t="n"/>
      <c r="F60" s="14" t="n"/>
      <c r="G60" s="15" t="n"/>
      <c r="H60" s="16" t="n"/>
      <c r="I60" s="17" t="n"/>
      <c r="J60" s="14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8">
        <f>IF(A60="","",COUNTIF(M60:R60,"Full")*2+COUNTIF(M60:R60,"AM")+COUNTIF(M60:R60,"PM"))</f>
        <v/>
      </c>
      <c r="T60" s="19">
        <f>IF(A60="","",IF(COUNTIF($A$2:$A$200,A60)&gt;1,"Duplicate Staff ID",IF(COUNTA(B60:I60)+COUNTA(K60:L60)&lt;10,"Fill in all details",IF($W60="","Pick a department",IF(COUNTIF(M60:R60,"Off")=6,"No OPD days set",IF((M60&lt;&gt;"Off")*(INDEX(Departments!$D$2:$D$13,$W60)="Closed")+(N60&lt;&gt;"Off")*(INDEX(Departments!$E$2:$E$13,$W60)="Closed")+(O60&lt;&gt;"Off")*(INDEX(Departments!$F$2:$F$13,$W60)="Closed")+(P60&lt;&gt;"Off")*(INDEX(Departments!$G$2:$G$13,$W60)="Closed")+(Q60&lt;&gt;"Off")*(INDEX(Departments!$H$2:$H$13,$W60)="Closed")+(R60&lt;&gt;"Off")*(INDEX(Departments!$I$2:$I$13,$W60)="Closed")&gt;0,"Note: works on a closed OPD day","OK"))))))</f>
        <v/>
      </c>
      <c r="U60" s="20">
        <f>C60&amp;"|"&amp;E60</f>
        <v/>
      </c>
      <c r="V60" s="20">
        <f>IF(A60="","",IFERROR(VALUE(MID(A60,4,4)),0))</f>
        <v/>
      </c>
      <c r="W60" s="20">
        <f>IFERROR(MATCH(C60,Departments!$B$2:$B$13,0),"")</f>
        <v/>
      </c>
    </row>
    <row r="61">
      <c r="A61" s="14" t="n"/>
      <c r="B61" s="14" t="n"/>
      <c r="C61" s="14" t="n"/>
      <c r="D61" s="14" t="n"/>
      <c r="E61" s="14" t="n"/>
      <c r="F61" s="14" t="n"/>
      <c r="G61" s="15" t="n"/>
      <c r="H61" s="16" t="n"/>
      <c r="I61" s="17" t="n"/>
      <c r="J61" s="14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8">
        <f>IF(A61="","",COUNTIF(M61:R61,"Full")*2+COUNTIF(M61:R61,"AM")+COUNTIF(M61:R61,"PM"))</f>
        <v/>
      </c>
      <c r="T61" s="19">
        <f>IF(A61="","",IF(COUNTIF($A$2:$A$200,A61)&gt;1,"Duplicate Staff ID",IF(COUNTA(B61:I61)+COUNTA(K61:L61)&lt;10,"Fill in all details",IF($W61="","Pick a department",IF(COUNTIF(M61:R61,"Off")=6,"No OPD days set",IF((M61&lt;&gt;"Off")*(INDEX(Departments!$D$2:$D$13,$W61)="Closed")+(N61&lt;&gt;"Off")*(INDEX(Departments!$E$2:$E$13,$W61)="Closed")+(O61&lt;&gt;"Off")*(INDEX(Departments!$F$2:$F$13,$W61)="Closed")+(P61&lt;&gt;"Off")*(INDEX(Departments!$G$2:$G$13,$W61)="Closed")+(Q61&lt;&gt;"Off")*(INDEX(Departments!$H$2:$H$13,$W61)="Closed")+(R61&lt;&gt;"Off")*(INDEX(Departments!$I$2:$I$13,$W61)="Closed")&gt;0,"Note: works on a closed OPD day","OK"))))))</f>
        <v/>
      </c>
      <c r="U61" s="20">
        <f>C61&amp;"|"&amp;E61</f>
        <v/>
      </c>
      <c r="V61" s="20">
        <f>IF(A61="","",IFERROR(VALUE(MID(A61,4,4)),0))</f>
        <v/>
      </c>
      <c r="W61" s="20">
        <f>IFERROR(MATCH(C61,Departments!$B$2:$B$13,0),"")</f>
        <v/>
      </c>
    </row>
    <row r="62">
      <c r="A62" s="14" t="n"/>
      <c r="B62" s="14" t="n"/>
      <c r="C62" s="14" t="n"/>
      <c r="D62" s="14" t="n"/>
      <c r="E62" s="14" t="n"/>
      <c r="F62" s="14" t="n"/>
      <c r="G62" s="15" t="n"/>
      <c r="H62" s="16" t="n"/>
      <c r="I62" s="17" t="n"/>
      <c r="J62" s="14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8">
        <f>IF(A62="","",COUNTIF(M62:R62,"Full")*2+COUNTIF(M62:R62,"AM")+COUNTIF(M62:R62,"PM"))</f>
        <v/>
      </c>
      <c r="T62" s="19">
        <f>IF(A62="","",IF(COUNTIF($A$2:$A$200,A62)&gt;1,"Duplicate Staff ID",IF(COUNTA(B62:I62)+COUNTA(K62:L62)&lt;10,"Fill in all details",IF($W62="","Pick a department",IF(COUNTIF(M62:R62,"Off")=6,"No OPD days set",IF((M62&lt;&gt;"Off")*(INDEX(Departments!$D$2:$D$13,$W62)="Closed")+(N62&lt;&gt;"Off")*(INDEX(Departments!$E$2:$E$13,$W62)="Closed")+(O62&lt;&gt;"Off")*(INDEX(Departments!$F$2:$F$13,$W62)="Closed")+(P62&lt;&gt;"Off")*(INDEX(Departments!$G$2:$G$13,$W62)="Closed")+(Q62&lt;&gt;"Off")*(INDEX(Departments!$H$2:$H$13,$W62)="Closed")+(R62&lt;&gt;"Off")*(INDEX(Departments!$I$2:$I$13,$W62)="Closed")&gt;0,"Note: works on a closed OPD day","OK"))))))</f>
        <v/>
      </c>
      <c r="U62" s="20">
        <f>C62&amp;"|"&amp;E62</f>
        <v/>
      </c>
      <c r="V62" s="20">
        <f>IF(A62="","",IFERROR(VALUE(MID(A62,4,4)),0))</f>
        <v/>
      </c>
      <c r="W62" s="20">
        <f>IFERROR(MATCH(C62,Departments!$B$2:$B$13,0),"")</f>
        <v/>
      </c>
    </row>
    <row r="63">
      <c r="A63" s="14" t="n"/>
      <c r="B63" s="14" t="n"/>
      <c r="C63" s="14" t="n"/>
      <c r="D63" s="14" t="n"/>
      <c r="E63" s="14" t="n"/>
      <c r="F63" s="14" t="n"/>
      <c r="G63" s="15" t="n"/>
      <c r="H63" s="16" t="n"/>
      <c r="I63" s="17" t="n"/>
      <c r="J63" s="14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8">
        <f>IF(A63="","",COUNTIF(M63:R63,"Full")*2+COUNTIF(M63:R63,"AM")+COUNTIF(M63:R63,"PM"))</f>
        <v/>
      </c>
      <c r="T63" s="19">
        <f>IF(A63="","",IF(COUNTIF($A$2:$A$200,A63)&gt;1,"Duplicate Staff ID",IF(COUNTA(B63:I63)+COUNTA(K63:L63)&lt;10,"Fill in all details",IF($W63="","Pick a department",IF(COUNTIF(M63:R63,"Off")=6,"No OPD days set",IF((M63&lt;&gt;"Off")*(INDEX(Departments!$D$2:$D$13,$W63)="Closed")+(N63&lt;&gt;"Off")*(INDEX(Departments!$E$2:$E$13,$W63)="Closed")+(O63&lt;&gt;"Off")*(INDEX(Departments!$F$2:$F$13,$W63)="Closed")+(P63&lt;&gt;"Off")*(INDEX(Departments!$G$2:$G$13,$W63)="Closed")+(Q63&lt;&gt;"Off")*(INDEX(Departments!$H$2:$H$13,$W63)="Closed")+(R63&lt;&gt;"Off")*(INDEX(Departments!$I$2:$I$13,$W63)="Closed")&gt;0,"Note: works on a closed OPD day","OK"))))))</f>
        <v/>
      </c>
      <c r="U63" s="20">
        <f>C63&amp;"|"&amp;E63</f>
        <v/>
      </c>
      <c r="V63" s="20">
        <f>IF(A63="","",IFERROR(VALUE(MID(A63,4,4)),0))</f>
        <v/>
      </c>
      <c r="W63" s="20">
        <f>IFERROR(MATCH(C63,Departments!$B$2:$B$13,0),"")</f>
        <v/>
      </c>
    </row>
    <row r="64">
      <c r="A64" s="14" t="n"/>
      <c r="B64" s="14" t="n"/>
      <c r="C64" s="14" t="n"/>
      <c r="D64" s="14" t="n"/>
      <c r="E64" s="14" t="n"/>
      <c r="F64" s="14" t="n"/>
      <c r="G64" s="15" t="n"/>
      <c r="H64" s="16" t="n"/>
      <c r="I64" s="17" t="n"/>
      <c r="J64" s="14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8">
        <f>IF(A64="","",COUNTIF(M64:R64,"Full")*2+COUNTIF(M64:R64,"AM")+COUNTIF(M64:R64,"PM"))</f>
        <v/>
      </c>
      <c r="T64" s="19">
        <f>IF(A64="","",IF(COUNTIF($A$2:$A$200,A64)&gt;1,"Duplicate Staff ID",IF(COUNTA(B64:I64)+COUNTA(K64:L64)&lt;10,"Fill in all details",IF($W64="","Pick a department",IF(COUNTIF(M64:R64,"Off")=6,"No OPD days set",IF((M64&lt;&gt;"Off")*(INDEX(Departments!$D$2:$D$13,$W64)="Closed")+(N64&lt;&gt;"Off")*(INDEX(Departments!$E$2:$E$13,$W64)="Closed")+(O64&lt;&gt;"Off")*(INDEX(Departments!$F$2:$F$13,$W64)="Closed")+(P64&lt;&gt;"Off")*(INDEX(Departments!$G$2:$G$13,$W64)="Closed")+(Q64&lt;&gt;"Off")*(INDEX(Departments!$H$2:$H$13,$W64)="Closed")+(R64&lt;&gt;"Off")*(INDEX(Departments!$I$2:$I$13,$W64)="Closed")&gt;0,"Note: works on a closed OPD day","OK"))))))</f>
        <v/>
      </c>
      <c r="U64" s="20">
        <f>C64&amp;"|"&amp;E64</f>
        <v/>
      </c>
      <c r="V64" s="20">
        <f>IF(A64="","",IFERROR(VALUE(MID(A64,4,4)),0))</f>
        <v/>
      </c>
      <c r="W64" s="20">
        <f>IFERROR(MATCH(C64,Departments!$B$2:$B$13,0),"")</f>
        <v/>
      </c>
    </row>
    <row r="65">
      <c r="A65" s="14" t="n"/>
      <c r="B65" s="14" t="n"/>
      <c r="C65" s="14" t="n"/>
      <c r="D65" s="14" t="n"/>
      <c r="E65" s="14" t="n"/>
      <c r="F65" s="14" t="n"/>
      <c r="G65" s="15" t="n"/>
      <c r="H65" s="16" t="n"/>
      <c r="I65" s="17" t="n"/>
      <c r="J65" s="14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8">
        <f>IF(A65="","",COUNTIF(M65:R65,"Full")*2+COUNTIF(M65:R65,"AM")+COUNTIF(M65:R65,"PM"))</f>
        <v/>
      </c>
      <c r="T65" s="19">
        <f>IF(A65="","",IF(COUNTIF($A$2:$A$200,A65)&gt;1,"Duplicate Staff ID",IF(COUNTA(B65:I65)+COUNTA(K65:L65)&lt;10,"Fill in all details",IF($W65="","Pick a department",IF(COUNTIF(M65:R65,"Off")=6,"No OPD days set",IF((M65&lt;&gt;"Off")*(INDEX(Departments!$D$2:$D$13,$W65)="Closed")+(N65&lt;&gt;"Off")*(INDEX(Departments!$E$2:$E$13,$W65)="Closed")+(O65&lt;&gt;"Off")*(INDEX(Departments!$F$2:$F$13,$W65)="Closed")+(P65&lt;&gt;"Off")*(INDEX(Departments!$G$2:$G$13,$W65)="Closed")+(Q65&lt;&gt;"Off")*(INDEX(Departments!$H$2:$H$13,$W65)="Closed")+(R65&lt;&gt;"Off")*(INDEX(Departments!$I$2:$I$13,$W65)="Closed")&gt;0,"Note: works on a closed OPD day","OK"))))))</f>
        <v/>
      </c>
      <c r="U65" s="20">
        <f>C65&amp;"|"&amp;E65</f>
        <v/>
      </c>
      <c r="V65" s="20">
        <f>IF(A65="","",IFERROR(VALUE(MID(A65,4,4)),0))</f>
        <v/>
      </c>
      <c r="W65" s="20">
        <f>IFERROR(MATCH(C65,Departments!$B$2:$B$13,0),"")</f>
        <v/>
      </c>
    </row>
    <row r="66">
      <c r="A66" s="14" t="n"/>
      <c r="B66" s="14" t="n"/>
      <c r="C66" s="14" t="n"/>
      <c r="D66" s="14" t="n"/>
      <c r="E66" s="14" t="n"/>
      <c r="F66" s="14" t="n"/>
      <c r="G66" s="15" t="n"/>
      <c r="H66" s="16" t="n"/>
      <c r="I66" s="17" t="n"/>
      <c r="J66" s="14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8">
        <f>IF(A66="","",COUNTIF(M66:R66,"Full")*2+COUNTIF(M66:R66,"AM")+COUNTIF(M66:R66,"PM"))</f>
        <v/>
      </c>
      <c r="T66" s="19">
        <f>IF(A66="","",IF(COUNTIF($A$2:$A$200,A66)&gt;1,"Duplicate Staff ID",IF(COUNTA(B66:I66)+COUNTA(K66:L66)&lt;10,"Fill in all details",IF($W66="","Pick a department",IF(COUNTIF(M66:R66,"Off")=6,"No OPD days set",IF((M66&lt;&gt;"Off")*(INDEX(Departments!$D$2:$D$13,$W66)="Closed")+(N66&lt;&gt;"Off")*(INDEX(Departments!$E$2:$E$13,$W66)="Closed")+(O66&lt;&gt;"Off")*(INDEX(Departments!$F$2:$F$13,$W66)="Closed")+(P66&lt;&gt;"Off")*(INDEX(Departments!$G$2:$G$13,$W66)="Closed")+(Q66&lt;&gt;"Off")*(INDEX(Departments!$H$2:$H$13,$W66)="Closed")+(R66&lt;&gt;"Off")*(INDEX(Departments!$I$2:$I$13,$W66)="Closed")&gt;0,"Note: works on a closed OPD day","OK"))))))</f>
        <v/>
      </c>
      <c r="U66" s="20">
        <f>C66&amp;"|"&amp;E66</f>
        <v/>
      </c>
      <c r="V66" s="20">
        <f>IF(A66="","",IFERROR(VALUE(MID(A66,4,4)),0))</f>
        <v/>
      </c>
      <c r="W66" s="20">
        <f>IFERROR(MATCH(C66,Departments!$B$2:$B$13,0),"")</f>
        <v/>
      </c>
    </row>
    <row r="67">
      <c r="A67" s="14" t="n"/>
      <c r="B67" s="14" t="n"/>
      <c r="C67" s="14" t="n"/>
      <c r="D67" s="14" t="n"/>
      <c r="E67" s="14" t="n"/>
      <c r="F67" s="14" t="n"/>
      <c r="G67" s="15" t="n"/>
      <c r="H67" s="16" t="n"/>
      <c r="I67" s="17" t="n"/>
      <c r="J67" s="14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8">
        <f>IF(A67="","",COUNTIF(M67:R67,"Full")*2+COUNTIF(M67:R67,"AM")+COUNTIF(M67:R67,"PM"))</f>
        <v/>
      </c>
      <c r="T67" s="19">
        <f>IF(A67="","",IF(COUNTIF($A$2:$A$200,A67)&gt;1,"Duplicate Staff ID",IF(COUNTA(B67:I67)+COUNTA(K67:L67)&lt;10,"Fill in all details",IF($W67="","Pick a department",IF(COUNTIF(M67:R67,"Off")=6,"No OPD days set",IF((M67&lt;&gt;"Off")*(INDEX(Departments!$D$2:$D$13,$W67)="Closed")+(N67&lt;&gt;"Off")*(INDEX(Departments!$E$2:$E$13,$W67)="Closed")+(O67&lt;&gt;"Off")*(INDEX(Departments!$F$2:$F$13,$W67)="Closed")+(P67&lt;&gt;"Off")*(INDEX(Departments!$G$2:$G$13,$W67)="Closed")+(Q67&lt;&gt;"Off")*(INDEX(Departments!$H$2:$H$13,$W67)="Closed")+(R67&lt;&gt;"Off")*(INDEX(Departments!$I$2:$I$13,$W67)="Closed")&gt;0,"Note: works on a closed OPD day","OK"))))))</f>
        <v/>
      </c>
      <c r="U67" s="20">
        <f>C67&amp;"|"&amp;E67</f>
        <v/>
      </c>
      <c r="V67" s="20">
        <f>IF(A67="","",IFERROR(VALUE(MID(A67,4,4)),0))</f>
        <v/>
      </c>
      <c r="W67" s="20">
        <f>IFERROR(MATCH(C67,Departments!$B$2:$B$13,0),"")</f>
        <v/>
      </c>
    </row>
    <row r="68">
      <c r="A68" s="14" t="n"/>
      <c r="B68" s="14" t="n"/>
      <c r="C68" s="14" t="n"/>
      <c r="D68" s="14" t="n"/>
      <c r="E68" s="14" t="n"/>
      <c r="F68" s="14" t="n"/>
      <c r="G68" s="15" t="n"/>
      <c r="H68" s="16" t="n"/>
      <c r="I68" s="17" t="n"/>
      <c r="J68" s="14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8">
        <f>IF(A68="","",COUNTIF(M68:R68,"Full")*2+COUNTIF(M68:R68,"AM")+COUNTIF(M68:R68,"PM"))</f>
        <v/>
      </c>
      <c r="T68" s="19">
        <f>IF(A68="","",IF(COUNTIF($A$2:$A$200,A68)&gt;1,"Duplicate Staff ID",IF(COUNTA(B68:I68)+COUNTA(K68:L68)&lt;10,"Fill in all details",IF($W68="","Pick a department",IF(COUNTIF(M68:R68,"Off")=6,"No OPD days set",IF((M68&lt;&gt;"Off")*(INDEX(Departments!$D$2:$D$13,$W68)="Closed")+(N68&lt;&gt;"Off")*(INDEX(Departments!$E$2:$E$13,$W68)="Closed")+(O68&lt;&gt;"Off")*(INDEX(Departments!$F$2:$F$13,$W68)="Closed")+(P68&lt;&gt;"Off")*(INDEX(Departments!$G$2:$G$13,$W68)="Closed")+(Q68&lt;&gt;"Off")*(INDEX(Departments!$H$2:$H$13,$W68)="Closed")+(R68&lt;&gt;"Off")*(INDEX(Departments!$I$2:$I$13,$W68)="Closed")&gt;0,"Note: works on a closed OPD day","OK"))))))</f>
        <v/>
      </c>
      <c r="U68" s="20">
        <f>C68&amp;"|"&amp;E68</f>
        <v/>
      </c>
      <c r="V68" s="20">
        <f>IF(A68="","",IFERROR(VALUE(MID(A68,4,4)),0))</f>
        <v/>
      </c>
      <c r="W68" s="20">
        <f>IFERROR(MATCH(C68,Departments!$B$2:$B$13,0),"")</f>
        <v/>
      </c>
    </row>
    <row r="69">
      <c r="A69" s="14" t="n"/>
      <c r="B69" s="14" t="n"/>
      <c r="C69" s="14" t="n"/>
      <c r="D69" s="14" t="n"/>
      <c r="E69" s="14" t="n"/>
      <c r="F69" s="14" t="n"/>
      <c r="G69" s="15" t="n"/>
      <c r="H69" s="16" t="n"/>
      <c r="I69" s="17" t="n"/>
      <c r="J69" s="14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8">
        <f>IF(A69="","",COUNTIF(M69:R69,"Full")*2+COUNTIF(M69:R69,"AM")+COUNTIF(M69:R69,"PM"))</f>
        <v/>
      </c>
      <c r="T69" s="19">
        <f>IF(A69="","",IF(COUNTIF($A$2:$A$200,A69)&gt;1,"Duplicate Staff ID",IF(COUNTA(B69:I69)+COUNTA(K69:L69)&lt;10,"Fill in all details",IF($W69="","Pick a department",IF(COUNTIF(M69:R69,"Off")=6,"No OPD days set",IF((M69&lt;&gt;"Off")*(INDEX(Departments!$D$2:$D$13,$W69)="Closed")+(N69&lt;&gt;"Off")*(INDEX(Departments!$E$2:$E$13,$W69)="Closed")+(O69&lt;&gt;"Off")*(INDEX(Departments!$F$2:$F$13,$W69)="Closed")+(P69&lt;&gt;"Off")*(INDEX(Departments!$G$2:$G$13,$W69)="Closed")+(Q69&lt;&gt;"Off")*(INDEX(Departments!$H$2:$H$13,$W69)="Closed")+(R69&lt;&gt;"Off")*(INDEX(Departments!$I$2:$I$13,$W69)="Closed")&gt;0,"Note: works on a closed OPD day","OK"))))))</f>
        <v/>
      </c>
      <c r="U69" s="20">
        <f>C69&amp;"|"&amp;E69</f>
        <v/>
      </c>
      <c r="V69" s="20">
        <f>IF(A69="","",IFERROR(VALUE(MID(A69,4,4)),0))</f>
        <v/>
      </c>
      <c r="W69" s="20">
        <f>IFERROR(MATCH(C69,Departments!$B$2:$B$13,0),"")</f>
        <v/>
      </c>
    </row>
    <row r="70">
      <c r="A70" s="14" t="n"/>
      <c r="B70" s="14" t="n"/>
      <c r="C70" s="14" t="n"/>
      <c r="D70" s="14" t="n"/>
      <c r="E70" s="14" t="n"/>
      <c r="F70" s="14" t="n"/>
      <c r="G70" s="15" t="n"/>
      <c r="H70" s="16" t="n"/>
      <c r="I70" s="17" t="n"/>
      <c r="J70" s="14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8">
        <f>IF(A70="","",COUNTIF(M70:R70,"Full")*2+COUNTIF(M70:R70,"AM")+COUNTIF(M70:R70,"PM"))</f>
        <v/>
      </c>
      <c r="T70" s="19">
        <f>IF(A70="","",IF(COUNTIF($A$2:$A$200,A70)&gt;1,"Duplicate Staff ID",IF(COUNTA(B70:I70)+COUNTA(K70:L70)&lt;10,"Fill in all details",IF($W70="","Pick a department",IF(COUNTIF(M70:R70,"Off")=6,"No OPD days set",IF((M70&lt;&gt;"Off")*(INDEX(Departments!$D$2:$D$13,$W70)="Closed")+(N70&lt;&gt;"Off")*(INDEX(Departments!$E$2:$E$13,$W70)="Closed")+(O70&lt;&gt;"Off")*(INDEX(Departments!$F$2:$F$13,$W70)="Closed")+(P70&lt;&gt;"Off")*(INDEX(Departments!$G$2:$G$13,$W70)="Closed")+(Q70&lt;&gt;"Off")*(INDEX(Departments!$H$2:$H$13,$W70)="Closed")+(R70&lt;&gt;"Off")*(INDEX(Departments!$I$2:$I$13,$W70)="Closed")&gt;0,"Note: works on a closed OPD day","OK"))))))</f>
        <v/>
      </c>
      <c r="U70" s="20">
        <f>C70&amp;"|"&amp;E70</f>
        <v/>
      </c>
      <c r="V70" s="20">
        <f>IF(A70="","",IFERROR(VALUE(MID(A70,4,4)),0))</f>
        <v/>
      </c>
      <c r="W70" s="20">
        <f>IFERROR(MATCH(C70,Departments!$B$2:$B$13,0),"")</f>
        <v/>
      </c>
    </row>
    <row r="71">
      <c r="A71" s="14" t="n"/>
      <c r="B71" s="14" t="n"/>
      <c r="C71" s="14" t="n"/>
      <c r="D71" s="14" t="n"/>
      <c r="E71" s="14" t="n"/>
      <c r="F71" s="14" t="n"/>
      <c r="G71" s="15" t="n"/>
      <c r="H71" s="16" t="n"/>
      <c r="I71" s="17" t="n"/>
      <c r="J71" s="14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8">
        <f>IF(A71="","",COUNTIF(M71:R71,"Full")*2+COUNTIF(M71:R71,"AM")+COUNTIF(M71:R71,"PM"))</f>
        <v/>
      </c>
      <c r="T71" s="19">
        <f>IF(A71="","",IF(COUNTIF($A$2:$A$200,A71)&gt;1,"Duplicate Staff ID",IF(COUNTA(B71:I71)+COUNTA(K71:L71)&lt;10,"Fill in all details",IF($W71="","Pick a department",IF(COUNTIF(M71:R71,"Off")=6,"No OPD days set",IF((M71&lt;&gt;"Off")*(INDEX(Departments!$D$2:$D$13,$W71)="Closed")+(N71&lt;&gt;"Off")*(INDEX(Departments!$E$2:$E$13,$W71)="Closed")+(O71&lt;&gt;"Off")*(INDEX(Departments!$F$2:$F$13,$W71)="Closed")+(P71&lt;&gt;"Off")*(INDEX(Departments!$G$2:$G$13,$W71)="Closed")+(Q71&lt;&gt;"Off")*(INDEX(Departments!$H$2:$H$13,$W71)="Closed")+(R71&lt;&gt;"Off")*(INDEX(Departments!$I$2:$I$13,$W71)="Closed")&gt;0,"Note: works on a closed OPD day","OK"))))))</f>
        <v/>
      </c>
      <c r="U71" s="20">
        <f>C71&amp;"|"&amp;E71</f>
        <v/>
      </c>
      <c r="V71" s="20">
        <f>IF(A71="","",IFERROR(VALUE(MID(A71,4,4)),0))</f>
        <v/>
      </c>
      <c r="W71" s="20">
        <f>IFERROR(MATCH(C71,Departments!$B$2:$B$13,0),"")</f>
        <v/>
      </c>
    </row>
    <row r="72">
      <c r="A72" s="14" t="n"/>
      <c r="B72" s="14" t="n"/>
      <c r="C72" s="14" t="n"/>
      <c r="D72" s="14" t="n"/>
      <c r="E72" s="14" t="n"/>
      <c r="F72" s="14" t="n"/>
      <c r="G72" s="15" t="n"/>
      <c r="H72" s="16" t="n"/>
      <c r="I72" s="17" t="n"/>
      <c r="J72" s="14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8">
        <f>IF(A72="","",COUNTIF(M72:R72,"Full")*2+COUNTIF(M72:R72,"AM")+COUNTIF(M72:R72,"PM"))</f>
        <v/>
      </c>
      <c r="T72" s="19">
        <f>IF(A72="","",IF(COUNTIF($A$2:$A$200,A72)&gt;1,"Duplicate Staff ID",IF(COUNTA(B72:I72)+COUNTA(K72:L72)&lt;10,"Fill in all details",IF($W72="","Pick a department",IF(COUNTIF(M72:R72,"Off")=6,"No OPD days set",IF((M72&lt;&gt;"Off")*(INDEX(Departments!$D$2:$D$13,$W72)="Closed")+(N72&lt;&gt;"Off")*(INDEX(Departments!$E$2:$E$13,$W72)="Closed")+(O72&lt;&gt;"Off")*(INDEX(Departments!$F$2:$F$13,$W72)="Closed")+(P72&lt;&gt;"Off")*(INDEX(Departments!$G$2:$G$13,$W72)="Closed")+(Q72&lt;&gt;"Off")*(INDEX(Departments!$H$2:$H$13,$W72)="Closed")+(R72&lt;&gt;"Off")*(INDEX(Departments!$I$2:$I$13,$W72)="Closed")&gt;0,"Note: works on a closed OPD day","OK"))))))</f>
        <v/>
      </c>
      <c r="U72" s="20">
        <f>C72&amp;"|"&amp;E72</f>
        <v/>
      </c>
      <c r="V72" s="20">
        <f>IF(A72="","",IFERROR(VALUE(MID(A72,4,4)),0))</f>
        <v/>
      </c>
      <c r="W72" s="20">
        <f>IFERROR(MATCH(C72,Departments!$B$2:$B$13,0),"")</f>
        <v/>
      </c>
    </row>
    <row r="73">
      <c r="A73" s="14" t="n"/>
      <c r="B73" s="14" t="n"/>
      <c r="C73" s="14" t="n"/>
      <c r="D73" s="14" t="n"/>
      <c r="E73" s="14" t="n"/>
      <c r="F73" s="14" t="n"/>
      <c r="G73" s="15" t="n"/>
      <c r="H73" s="16" t="n"/>
      <c r="I73" s="17" t="n"/>
      <c r="J73" s="14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8">
        <f>IF(A73="","",COUNTIF(M73:R73,"Full")*2+COUNTIF(M73:R73,"AM")+COUNTIF(M73:R73,"PM"))</f>
        <v/>
      </c>
      <c r="T73" s="19">
        <f>IF(A73="","",IF(COUNTIF($A$2:$A$200,A73)&gt;1,"Duplicate Staff ID",IF(COUNTA(B73:I73)+COUNTA(K73:L73)&lt;10,"Fill in all details",IF($W73="","Pick a department",IF(COUNTIF(M73:R73,"Off")=6,"No OPD days set",IF((M73&lt;&gt;"Off")*(INDEX(Departments!$D$2:$D$13,$W73)="Closed")+(N73&lt;&gt;"Off")*(INDEX(Departments!$E$2:$E$13,$W73)="Closed")+(O73&lt;&gt;"Off")*(INDEX(Departments!$F$2:$F$13,$W73)="Closed")+(P73&lt;&gt;"Off")*(INDEX(Departments!$G$2:$G$13,$W73)="Closed")+(Q73&lt;&gt;"Off")*(INDEX(Departments!$H$2:$H$13,$W73)="Closed")+(R73&lt;&gt;"Off")*(INDEX(Departments!$I$2:$I$13,$W73)="Closed")&gt;0,"Note: works on a closed OPD day","OK"))))))</f>
        <v/>
      </c>
      <c r="U73" s="20">
        <f>C73&amp;"|"&amp;E73</f>
        <v/>
      </c>
      <c r="V73" s="20">
        <f>IF(A73="","",IFERROR(VALUE(MID(A73,4,4)),0))</f>
        <v/>
      </c>
      <c r="W73" s="20">
        <f>IFERROR(MATCH(C73,Departments!$B$2:$B$13,0),"")</f>
        <v/>
      </c>
    </row>
    <row r="74">
      <c r="A74" s="14" t="n"/>
      <c r="B74" s="14" t="n"/>
      <c r="C74" s="14" t="n"/>
      <c r="D74" s="14" t="n"/>
      <c r="E74" s="14" t="n"/>
      <c r="F74" s="14" t="n"/>
      <c r="G74" s="15" t="n"/>
      <c r="H74" s="16" t="n"/>
      <c r="I74" s="17" t="n"/>
      <c r="J74" s="14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8">
        <f>IF(A74="","",COUNTIF(M74:R74,"Full")*2+COUNTIF(M74:R74,"AM")+COUNTIF(M74:R74,"PM"))</f>
        <v/>
      </c>
      <c r="T74" s="19">
        <f>IF(A74="","",IF(COUNTIF($A$2:$A$200,A74)&gt;1,"Duplicate Staff ID",IF(COUNTA(B74:I74)+COUNTA(K74:L74)&lt;10,"Fill in all details",IF($W74="","Pick a department",IF(COUNTIF(M74:R74,"Off")=6,"No OPD days set",IF((M74&lt;&gt;"Off")*(INDEX(Departments!$D$2:$D$13,$W74)="Closed")+(N74&lt;&gt;"Off")*(INDEX(Departments!$E$2:$E$13,$W74)="Closed")+(O74&lt;&gt;"Off")*(INDEX(Departments!$F$2:$F$13,$W74)="Closed")+(P74&lt;&gt;"Off")*(INDEX(Departments!$G$2:$G$13,$W74)="Closed")+(Q74&lt;&gt;"Off")*(INDEX(Departments!$H$2:$H$13,$W74)="Closed")+(R74&lt;&gt;"Off")*(INDEX(Departments!$I$2:$I$13,$W74)="Closed")&gt;0,"Note: works on a closed OPD day","OK"))))))</f>
        <v/>
      </c>
      <c r="U74" s="20">
        <f>C74&amp;"|"&amp;E74</f>
        <v/>
      </c>
      <c r="V74" s="20">
        <f>IF(A74="","",IFERROR(VALUE(MID(A74,4,4)),0))</f>
        <v/>
      </c>
      <c r="W74" s="20">
        <f>IFERROR(MATCH(C74,Departments!$B$2:$B$13,0),"")</f>
        <v/>
      </c>
    </row>
    <row r="75">
      <c r="A75" s="14" t="n"/>
      <c r="B75" s="14" t="n"/>
      <c r="C75" s="14" t="n"/>
      <c r="D75" s="14" t="n"/>
      <c r="E75" s="14" t="n"/>
      <c r="F75" s="14" t="n"/>
      <c r="G75" s="15" t="n"/>
      <c r="H75" s="16" t="n"/>
      <c r="I75" s="17" t="n"/>
      <c r="J75" s="14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8">
        <f>IF(A75="","",COUNTIF(M75:R75,"Full")*2+COUNTIF(M75:R75,"AM")+COUNTIF(M75:R75,"PM"))</f>
        <v/>
      </c>
      <c r="T75" s="19">
        <f>IF(A75="","",IF(COUNTIF($A$2:$A$200,A75)&gt;1,"Duplicate Staff ID",IF(COUNTA(B75:I75)+COUNTA(K75:L75)&lt;10,"Fill in all details",IF($W75="","Pick a department",IF(COUNTIF(M75:R75,"Off")=6,"No OPD days set",IF((M75&lt;&gt;"Off")*(INDEX(Departments!$D$2:$D$13,$W75)="Closed")+(N75&lt;&gt;"Off")*(INDEX(Departments!$E$2:$E$13,$W75)="Closed")+(O75&lt;&gt;"Off")*(INDEX(Departments!$F$2:$F$13,$W75)="Closed")+(P75&lt;&gt;"Off")*(INDEX(Departments!$G$2:$G$13,$W75)="Closed")+(Q75&lt;&gt;"Off")*(INDEX(Departments!$H$2:$H$13,$W75)="Closed")+(R75&lt;&gt;"Off")*(INDEX(Departments!$I$2:$I$13,$W75)="Closed")&gt;0,"Note: works on a closed OPD day","OK"))))))</f>
        <v/>
      </c>
      <c r="U75" s="20">
        <f>C75&amp;"|"&amp;E75</f>
        <v/>
      </c>
      <c r="V75" s="20">
        <f>IF(A75="","",IFERROR(VALUE(MID(A75,4,4)),0))</f>
        <v/>
      </c>
      <c r="W75" s="20">
        <f>IFERROR(MATCH(C75,Departments!$B$2:$B$13,0),"")</f>
        <v/>
      </c>
    </row>
    <row r="76">
      <c r="A76" s="14" t="n"/>
      <c r="B76" s="14" t="n"/>
      <c r="C76" s="14" t="n"/>
      <c r="D76" s="14" t="n"/>
      <c r="E76" s="14" t="n"/>
      <c r="F76" s="14" t="n"/>
      <c r="G76" s="15" t="n"/>
      <c r="H76" s="16" t="n"/>
      <c r="I76" s="17" t="n"/>
      <c r="J76" s="14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8">
        <f>IF(A76="","",COUNTIF(M76:R76,"Full")*2+COUNTIF(M76:R76,"AM")+COUNTIF(M76:R76,"PM"))</f>
        <v/>
      </c>
      <c r="T76" s="19">
        <f>IF(A76="","",IF(COUNTIF($A$2:$A$200,A76)&gt;1,"Duplicate Staff ID",IF(COUNTA(B76:I76)+COUNTA(K76:L76)&lt;10,"Fill in all details",IF($W76="","Pick a department",IF(COUNTIF(M76:R76,"Off")=6,"No OPD days set",IF((M76&lt;&gt;"Off")*(INDEX(Departments!$D$2:$D$13,$W76)="Closed")+(N76&lt;&gt;"Off")*(INDEX(Departments!$E$2:$E$13,$W76)="Closed")+(O76&lt;&gt;"Off")*(INDEX(Departments!$F$2:$F$13,$W76)="Closed")+(P76&lt;&gt;"Off")*(INDEX(Departments!$G$2:$G$13,$W76)="Closed")+(Q76&lt;&gt;"Off")*(INDEX(Departments!$H$2:$H$13,$W76)="Closed")+(R76&lt;&gt;"Off")*(INDEX(Departments!$I$2:$I$13,$W76)="Closed")&gt;0,"Note: works on a closed OPD day","OK"))))))</f>
        <v/>
      </c>
      <c r="U76" s="20">
        <f>C76&amp;"|"&amp;E76</f>
        <v/>
      </c>
      <c r="V76" s="20">
        <f>IF(A76="","",IFERROR(VALUE(MID(A76,4,4)),0))</f>
        <v/>
      </c>
      <c r="W76" s="20">
        <f>IFERROR(MATCH(C76,Departments!$B$2:$B$13,0),"")</f>
        <v/>
      </c>
    </row>
    <row r="77">
      <c r="A77" s="14" t="n"/>
      <c r="B77" s="14" t="n"/>
      <c r="C77" s="14" t="n"/>
      <c r="D77" s="14" t="n"/>
      <c r="E77" s="14" t="n"/>
      <c r="F77" s="14" t="n"/>
      <c r="G77" s="15" t="n"/>
      <c r="H77" s="16" t="n"/>
      <c r="I77" s="17" t="n"/>
      <c r="J77" s="14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8">
        <f>IF(A77="","",COUNTIF(M77:R77,"Full")*2+COUNTIF(M77:R77,"AM")+COUNTIF(M77:R77,"PM"))</f>
        <v/>
      </c>
      <c r="T77" s="19">
        <f>IF(A77="","",IF(COUNTIF($A$2:$A$200,A77)&gt;1,"Duplicate Staff ID",IF(COUNTA(B77:I77)+COUNTA(K77:L77)&lt;10,"Fill in all details",IF($W77="","Pick a department",IF(COUNTIF(M77:R77,"Off")=6,"No OPD days set",IF((M77&lt;&gt;"Off")*(INDEX(Departments!$D$2:$D$13,$W77)="Closed")+(N77&lt;&gt;"Off")*(INDEX(Departments!$E$2:$E$13,$W77)="Closed")+(O77&lt;&gt;"Off")*(INDEX(Departments!$F$2:$F$13,$W77)="Closed")+(P77&lt;&gt;"Off")*(INDEX(Departments!$G$2:$G$13,$W77)="Closed")+(Q77&lt;&gt;"Off")*(INDEX(Departments!$H$2:$H$13,$W77)="Closed")+(R77&lt;&gt;"Off")*(INDEX(Departments!$I$2:$I$13,$W77)="Closed")&gt;0,"Note: works on a closed OPD day","OK"))))))</f>
        <v/>
      </c>
      <c r="U77" s="20">
        <f>C77&amp;"|"&amp;E77</f>
        <v/>
      </c>
      <c r="V77" s="20">
        <f>IF(A77="","",IFERROR(VALUE(MID(A77,4,4)),0))</f>
        <v/>
      </c>
      <c r="W77" s="20">
        <f>IFERROR(MATCH(C77,Departments!$B$2:$B$13,0),"")</f>
        <v/>
      </c>
    </row>
    <row r="78">
      <c r="A78" s="14" t="n"/>
      <c r="B78" s="14" t="n"/>
      <c r="C78" s="14" t="n"/>
      <c r="D78" s="14" t="n"/>
      <c r="E78" s="14" t="n"/>
      <c r="F78" s="14" t="n"/>
      <c r="G78" s="15" t="n"/>
      <c r="H78" s="16" t="n"/>
      <c r="I78" s="17" t="n"/>
      <c r="J78" s="14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8">
        <f>IF(A78="","",COUNTIF(M78:R78,"Full")*2+COUNTIF(M78:R78,"AM")+COUNTIF(M78:R78,"PM"))</f>
        <v/>
      </c>
      <c r="T78" s="19">
        <f>IF(A78="","",IF(COUNTIF($A$2:$A$200,A78)&gt;1,"Duplicate Staff ID",IF(COUNTA(B78:I78)+COUNTA(K78:L78)&lt;10,"Fill in all details",IF($W78="","Pick a department",IF(COUNTIF(M78:R78,"Off")=6,"No OPD days set",IF((M78&lt;&gt;"Off")*(INDEX(Departments!$D$2:$D$13,$W78)="Closed")+(N78&lt;&gt;"Off")*(INDEX(Departments!$E$2:$E$13,$W78)="Closed")+(O78&lt;&gt;"Off")*(INDEX(Departments!$F$2:$F$13,$W78)="Closed")+(P78&lt;&gt;"Off")*(INDEX(Departments!$G$2:$G$13,$W78)="Closed")+(Q78&lt;&gt;"Off")*(INDEX(Departments!$H$2:$H$13,$W78)="Closed")+(R78&lt;&gt;"Off")*(INDEX(Departments!$I$2:$I$13,$W78)="Closed")&gt;0,"Note: works on a closed OPD day","OK"))))))</f>
        <v/>
      </c>
      <c r="U78" s="20">
        <f>C78&amp;"|"&amp;E78</f>
        <v/>
      </c>
      <c r="V78" s="20">
        <f>IF(A78="","",IFERROR(VALUE(MID(A78,4,4)),0))</f>
        <v/>
      </c>
      <c r="W78" s="20">
        <f>IFERROR(MATCH(C78,Departments!$B$2:$B$13,0),"")</f>
        <v/>
      </c>
    </row>
    <row r="79">
      <c r="A79" s="14" t="n"/>
      <c r="B79" s="14" t="n"/>
      <c r="C79" s="14" t="n"/>
      <c r="D79" s="14" t="n"/>
      <c r="E79" s="14" t="n"/>
      <c r="F79" s="14" t="n"/>
      <c r="G79" s="15" t="n"/>
      <c r="H79" s="16" t="n"/>
      <c r="I79" s="17" t="n"/>
      <c r="J79" s="14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8">
        <f>IF(A79="","",COUNTIF(M79:R79,"Full")*2+COUNTIF(M79:R79,"AM")+COUNTIF(M79:R79,"PM"))</f>
        <v/>
      </c>
      <c r="T79" s="19">
        <f>IF(A79="","",IF(COUNTIF($A$2:$A$200,A79)&gt;1,"Duplicate Staff ID",IF(COUNTA(B79:I79)+COUNTA(K79:L79)&lt;10,"Fill in all details",IF($W79="","Pick a department",IF(COUNTIF(M79:R79,"Off")=6,"No OPD days set",IF((M79&lt;&gt;"Off")*(INDEX(Departments!$D$2:$D$13,$W79)="Closed")+(N79&lt;&gt;"Off")*(INDEX(Departments!$E$2:$E$13,$W79)="Closed")+(O79&lt;&gt;"Off")*(INDEX(Departments!$F$2:$F$13,$W79)="Closed")+(P79&lt;&gt;"Off")*(INDEX(Departments!$G$2:$G$13,$W79)="Closed")+(Q79&lt;&gt;"Off")*(INDEX(Departments!$H$2:$H$13,$W79)="Closed")+(R79&lt;&gt;"Off")*(INDEX(Departments!$I$2:$I$13,$W79)="Closed")&gt;0,"Note: works on a closed OPD day","OK"))))))</f>
        <v/>
      </c>
      <c r="U79" s="20">
        <f>C79&amp;"|"&amp;E79</f>
        <v/>
      </c>
      <c r="V79" s="20">
        <f>IF(A79="","",IFERROR(VALUE(MID(A79,4,4)),0))</f>
        <v/>
      </c>
      <c r="W79" s="20">
        <f>IFERROR(MATCH(C79,Departments!$B$2:$B$13,0),"")</f>
        <v/>
      </c>
    </row>
    <row r="80">
      <c r="A80" s="14" t="n"/>
      <c r="B80" s="14" t="n"/>
      <c r="C80" s="14" t="n"/>
      <c r="D80" s="14" t="n"/>
      <c r="E80" s="14" t="n"/>
      <c r="F80" s="14" t="n"/>
      <c r="G80" s="15" t="n"/>
      <c r="H80" s="16" t="n"/>
      <c r="I80" s="17" t="n"/>
      <c r="J80" s="14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8">
        <f>IF(A80="","",COUNTIF(M80:R80,"Full")*2+COUNTIF(M80:R80,"AM")+COUNTIF(M80:R80,"PM"))</f>
        <v/>
      </c>
      <c r="T80" s="19">
        <f>IF(A80="","",IF(COUNTIF($A$2:$A$200,A80)&gt;1,"Duplicate Staff ID",IF(COUNTA(B80:I80)+COUNTA(K80:L80)&lt;10,"Fill in all details",IF($W80="","Pick a department",IF(COUNTIF(M80:R80,"Off")=6,"No OPD days set",IF((M80&lt;&gt;"Off")*(INDEX(Departments!$D$2:$D$13,$W80)="Closed")+(N80&lt;&gt;"Off")*(INDEX(Departments!$E$2:$E$13,$W80)="Closed")+(O80&lt;&gt;"Off")*(INDEX(Departments!$F$2:$F$13,$W80)="Closed")+(P80&lt;&gt;"Off")*(INDEX(Departments!$G$2:$G$13,$W80)="Closed")+(Q80&lt;&gt;"Off")*(INDEX(Departments!$H$2:$H$13,$W80)="Closed")+(R80&lt;&gt;"Off")*(INDEX(Departments!$I$2:$I$13,$W80)="Closed")&gt;0,"Note: works on a closed OPD day","OK"))))))</f>
        <v/>
      </c>
      <c r="U80" s="20">
        <f>C80&amp;"|"&amp;E80</f>
        <v/>
      </c>
      <c r="V80" s="20">
        <f>IF(A80="","",IFERROR(VALUE(MID(A80,4,4)),0))</f>
        <v/>
      </c>
      <c r="W80" s="20">
        <f>IFERROR(MATCH(C80,Departments!$B$2:$B$13,0),"")</f>
        <v/>
      </c>
    </row>
    <row r="81">
      <c r="A81" s="14" t="n"/>
      <c r="B81" s="14" t="n"/>
      <c r="C81" s="14" t="n"/>
      <c r="D81" s="14" t="n"/>
      <c r="E81" s="14" t="n"/>
      <c r="F81" s="14" t="n"/>
      <c r="G81" s="15" t="n"/>
      <c r="H81" s="16" t="n"/>
      <c r="I81" s="17" t="n"/>
      <c r="J81" s="14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8">
        <f>IF(A81="","",COUNTIF(M81:R81,"Full")*2+COUNTIF(M81:R81,"AM")+COUNTIF(M81:R81,"PM"))</f>
        <v/>
      </c>
      <c r="T81" s="19">
        <f>IF(A81="","",IF(COUNTIF($A$2:$A$200,A81)&gt;1,"Duplicate Staff ID",IF(COUNTA(B81:I81)+COUNTA(K81:L81)&lt;10,"Fill in all details",IF($W81="","Pick a department",IF(COUNTIF(M81:R81,"Off")=6,"No OPD days set",IF((M81&lt;&gt;"Off")*(INDEX(Departments!$D$2:$D$13,$W81)="Closed")+(N81&lt;&gt;"Off")*(INDEX(Departments!$E$2:$E$13,$W81)="Closed")+(O81&lt;&gt;"Off")*(INDEX(Departments!$F$2:$F$13,$W81)="Closed")+(P81&lt;&gt;"Off")*(INDEX(Departments!$G$2:$G$13,$W81)="Closed")+(Q81&lt;&gt;"Off")*(INDEX(Departments!$H$2:$H$13,$W81)="Closed")+(R81&lt;&gt;"Off")*(INDEX(Departments!$I$2:$I$13,$W81)="Closed")&gt;0,"Note: works on a closed OPD day","OK"))))))</f>
        <v/>
      </c>
      <c r="U81" s="20">
        <f>C81&amp;"|"&amp;E81</f>
        <v/>
      </c>
      <c r="V81" s="20">
        <f>IF(A81="","",IFERROR(VALUE(MID(A81,4,4)),0))</f>
        <v/>
      </c>
      <c r="W81" s="20">
        <f>IFERROR(MATCH(C81,Departments!$B$2:$B$13,0),"")</f>
        <v/>
      </c>
    </row>
    <row r="82">
      <c r="A82" s="14" t="n"/>
      <c r="B82" s="14" t="n"/>
      <c r="C82" s="14" t="n"/>
      <c r="D82" s="14" t="n"/>
      <c r="E82" s="14" t="n"/>
      <c r="F82" s="14" t="n"/>
      <c r="G82" s="15" t="n"/>
      <c r="H82" s="16" t="n"/>
      <c r="I82" s="17" t="n"/>
      <c r="J82" s="14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8">
        <f>IF(A82="","",COUNTIF(M82:R82,"Full")*2+COUNTIF(M82:R82,"AM")+COUNTIF(M82:R82,"PM"))</f>
        <v/>
      </c>
      <c r="T82" s="19">
        <f>IF(A82="","",IF(COUNTIF($A$2:$A$200,A82)&gt;1,"Duplicate Staff ID",IF(COUNTA(B82:I82)+COUNTA(K82:L82)&lt;10,"Fill in all details",IF($W82="","Pick a department",IF(COUNTIF(M82:R82,"Off")=6,"No OPD days set",IF((M82&lt;&gt;"Off")*(INDEX(Departments!$D$2:$D$13,$W82)="Closed")+(N82&lt;&gt;"Off")*(INDEX(Departments!$E$2:$E$13,$W82)="Closed")+(O82&lt;&gt;"Off")*(INDEX(Departments!$F$2:$F$13,$W82)="Closed")+(P82&lt;&gt;"Off")*(INDEX(Departments!$G$2:$G$13,$W82)="Closed")+(Q82&lt;&gt;"Off")*(INDEX(Departments!$H$2:$H$13,$W82)="Closed")+(R82&lt;&gt;"Off")*(INDEX(Departments!$I$2:$I$13,$W82)="Closed")&gt;0,"Note: works on a closed OPD day","OK"))))))</f>
        <v/>
      </c>
      <c r="U82" s="20">
        <f>C82&amp;"|"&amp;E82</f>
        <v/>
      </c>
      <c r="V82" s="20">
        <f>IF(A82="","",IFERROR(VALUE(MID(A82,4,4)),0))</f>
        <v/>
      </c>
      <c r="W82" s="20">
        <f>IFERROR(MATCH(C82,Departments!$B$2:$B$13,0),"")</f>
        <v/>
      </c>
    </row>
    <row r="83">
      <c r="A83" s="14" t="n"/>
      <c r="B83" s="14" t="n"/>
      <c r="C83" s="14" t="n"/>
      <c r="D83" s="14" t="n"/>
      <c r="E83" s="14" t="n"/>
      <c r="F83" s="14" t="n"/>
      <c r="G83" s="15" t="n"/>
      <c r="H83" s="16" t="n"/>
      <c r="I83" s="17" t="n"/>
      <c r="J83" s="14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8">
        <f>IF(A83="","",COUNTIF(M83:R83,"Full")*2+COUNTIF(M83:R83,"AM")+COUNTIF(M83:R83,"PM"))</f>
        <v/>
      </c>
      <c r="T83" s="19">
        <f>IF(A83="","",IF(COUNTIF($A$2:$A$200,A83)&gt;1,"Duplicate Staff ID",IF(COUNTA(B83:I83)+COUNTA(K83:L83)&lt;10,"Fill in all details",IF($W83="","Pick a department",IF(COUNTIF(M83:R83,"Off")=6,"No OPD days set",IF((M83&lt;&gt;"Off")*(INDEX(Departments!$D$2:$D$13,$W83)="Closed")+(N83&lt;&gt;"Off")*(INDEX(Departments!$E$2:$E$13,$W83)="Closed")+(O83&lt;&gt;"Off")*(INDEX(Departments!$F$2:$F$13,$W83)="Closed")+(P83&lt;&gt;"Off")*(INDEX(Departments!$G$2:$G$13,$W83)="Closed")+(Q83&lt;&gt;"Off")*(INDEX(Departments!$H$2:$H$13,$W83)="Closed")+(R83&lt;&gt;"Off")*(INDEX(Departments!$I$2:$I$13,$W83)="Closed")&gt;0,"Note: works on a closed OPD day","OK"))))))</f>
        <v/>
      </c>
      <c r="U83" s="20">
        <f>C83&amp;"|"&amp;E83</f>
        <v/>
      </c>
      <c r="V83" s="20">
        <f>IF(A83="","",IFERROR(VALUE(MID(A83,4,4)),0))</f>
        <v/>
      </c>
      <c r="W83" s="20">
        <f>IFERROR(MATCH(C83,Departments!$B$2:$B$13,0),"")</f>
        <v/>
      </c>
    </row>
    <row r="84">
      <c r="A84" s="14" t="n"/>
      <c r="B84" s="14" t="n"/>
      <c r="C84" s="14" t="n"/>
      <c r="D84" s="14" t="n"/>
      <c r="E84" s="14" t="n"/>
      <c r="F84" s="14" t="n"/>
      <c r="G84" s="15" t="n"/>
      <c r="H84" s="16" t="n"/>
      <c r="I84" s="17" t="n"/>
      <c r="J84" s="14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8">
        <f>IF(A84="","",COUNTIF(M84:R84,"Full")*2+COUNTIF(M84:R84,"AM")+COUNTIF(M84:R84,"PM"))</f>
        <v/>
      </c>
      <c r="T84" s="19">
        <f>IF(A84="","",IF(COUNTIF($A$2:$A$200,A84)&gt;1,"Duplicate Staff ID",IF(COUNTA(B84:I84)+COUNTA(K84:L84)&lt;10,"Fill in all details",IF($W84="","Pick a department",IF(COUNTIF(M84:R84,"Off")=6,"No OPD days set",IF((M84&lt;&gt;"Off")*(INDEX(Departments!$D$2:$D$13,$W84)="Closed")+(N84&lt;&gt;"Off")*(INDEX(Departments!$E$2:$E$13,$W84)="Closed")+(O84&lt;&gt;"Off")*(INDEX(Departments!$F$2:$F$13,$W84)="Closed")+(P84&lt;&gt;"Off")*(INDEX(Departments!$G$2:$G$13,$W84)="Closed")+(Q84&lt;&gt;"Off")*(INDEX(Departments!$H$2:$H$13,$W84)="Closed")+(R84&lt;&gt;"Off")*(INDEX(Departments!$I$2:$I$13,$W84)="Closed")&gt;0,"Note: works on a closed OPD day","OK"))))))</f>
        <v/>
      </c>
      <c r="U84" s="20">
        <f>C84&amp;"|"&amp;E84</f>
        <v/>
      </c>
      <c r="V84" s="20">
        <f>IF(A84="","",IFERROR(VALUE(MID(A84,4,4)),0))</f>
        <v/>
      </c>
      <c r="W84" s="20">
        <f>IFERROR(MATCH(C84,Departments!$B$2:$B$13,0),"")</f>
        <v/>
      </c>
    </row>
    <row r="85">
      <c r="A85" s="14" t="n"/>
      <c r="B85" s="14" t="n"/>
      <c r="C85" s="14" t="n"/>
      <c r="D85" s="14" t="n"/>
      <c r="E85" s="14" t="n"/>
      <c r="F85" s="14" t="n"/>
      <c r="G85" s="15" t="n"/>
      <c r="H85" s="16" t="n"/>
      <c r="I85" s="17" t="n"/>
      <c r="J85" s="14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8">
        <f>IF(A85="","",COUNTIF(M85:R85,"Full")*2+COUNTIF(M85:R85,"AM")+COUNTIF(M85:R85,"PM"))</f>
        <v/>
      </c>
      <c r="T85" s="19">
        <f>IF(A85="","",IF(COUNTIF($A$2:$A$200,A85)&gt;1,"Duplicate Staff ID",IF(COUNTA(B85:I85)+COUNTA(K85:L85)&lt;10,"Fill in all details",IF($W85="","Pick a department",IF(COUNTIF(M85:R85,"Off")=6,"No OPD days set",IF((M85&lt;&gt;"Off")*(INDEX(Departments!$D$2:$D$13,$W85)="Closed")+(N85&lt;&gt;"Off")*(INDEX(Departments!$E$2:$E$13,$W85)="Closed")+(O85&lt;&gt;"Off")*(INDEX(Departments!$F$2:$F$13,$W85)="Closed")+(P85&lt;&gt;"Off")*(INDEX(Departments!$G$2:$G$13,$W85)="Closed")+(Q85&lt;&gt;"Off")*(INDEX(Departments!$H$2:$H$13,$W85)="Closed")+(R85&lt;&gt;"Off")*(INDEX(Departments!$I$2:$I$13,$W85)="Closed")&gt;0,"Note: works on a closed OPD day","OK"))))))</f>
        <v/>
      </c>
      <c r="U85" s="20">
        <f>C85&amp;"|"&amp;E85</f>
        <v/>
      </c>
      <c r="V85" s="20">
        <f>IF(A85="","",IFERROR(VALUE(MID(A85,4,4)),0))</f>
        <v/>
      </c>
      <c r="W85" s="20">
        <f>IFERROR(MATCH(C85,Departments!$B$2:$B$13,0),"")</f>
        <v/>
      </c>
    </row>
    <row r="86">
      <c r="A86" s="14" t="n"/>
      <c r="B86" s="14" t="n"/>
      <c r="C86" s="14" t="n"/>
      <c r="D86" s="14" t="n"/>
      <c r="E86" s="14" t="n"/>
      <c r="F86" s="14" t="n"/>
      <c r="G86" s="15" t="n"/>
      <c r="H86" s="16" t="n"/>
      <c r="I86" s="17" t="n"/>
      <c r="J86" s="14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8">
        <f>IF(A86="","",COUNTIF(M86:R86,"Full")*2+COUNTIF(M86:R86,"AM")+COUNTIF(M86:R86,"PM"))</f>
        <v/>
      </c>
      <c r="T86" s="19">
        <f>IF(A86="","",IF(COUNTIF($A$2:$A$200,A86)&gt;1,"Duplicate Staff ID",IF(COUNTA(B86:I86)+COUNTA(K86:L86)&lt;10,"Fill in all details",IF($W86="","Pick a department",IF(COUNTIF(M86:R86,"Off")=6,"No OPD days set",IF((M86&lt;&gt;"Off")*(INDEX(Departments!$D$2:$D$13,$W86)="Closed")+(N86&lt;&gt;"Off")*(INDEX(Departments!$E$2:$E$13,$W86)="Closed")+(O86&lt;&gt;"Off")*(INDEX(Departments!$F$2:$F$13,$W86)="Closed")+(P86&lt;&gt;"Off")*(INDEX(Departments!$G$2:$G$13,$W86)="Closed")+(Q86&lt;&gt;"Off")*(INDEX(Departments!$H$2:$H$13,$W86)="Closed")+(R86&lt;&gt;"Off")*(INDEX(Departments!$I$2:$I$13,$W86)="Closed")&gt;0,"Note: works on a closed OPD day","OK"))))))</f>
        <v/>
      </c>
      <c r="U86" s="20">
        <f>C86&amp;"|"&amp;E86</f>
        <v/>
      </c>
      <c r="V86" s="20">
        <f>IF(A86="","",IFERROR(VALUE(MID(A86,4,4)),0))</f>
        <v/>
      </c>
      <c r="W86" s="20">
        <f>IFERROR(MATCH(C86,Departments!$B$2:$B$13,0),"")</f>
        <v/>
      </c>
    </row>
    <row r="87">
      <c r="A87" s="14" t="n"/>
      <c r="B87" s="14" t="n"/>
      <c r="C87" s="14" t="n"/>
      <c r="D87" s="14" t="n"/>
      <c r="E87" s="14" t="n"/>
      <c r="F87" s="14" t="n"/>
      <c r="G87" s="15" t="n"/>
      <c r="H87" s="16" t="n"/>
      <c r="I87" s="17" t="n"/>
      <c r="J87" s="14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8">
        <f>IF(A87="","",COUNTIF(M87:R87,"Full")*2+COUNTIF(M87:R87,"AM")+COUNTIF(M87:R87,"PM"))</f>
        <v/>
      </c>
      <c r="T87" s="19">
        <f>IF(A87="","",IF(COUNTIF($A$2:$A$200,A87)&gt;1,"Duplicate Staff ID",IF(COUNTA(B87:I87)+COUNTA(K87:L87)&lt;10,"Fill in all details",IF($W87="","Pick a department",IF(COUNTIF(M87:R87,"Off")=6,"No OPD days set",IF((M87&lt;&gt;"Off")*(INDEX(Departments!$D$2:$D$13,$W87)="Closed")+(N87&lt;&gt;"Off")*(INDEX(Departments!$E$2:$E$13,$W87)="Closed")+(O87&lt;&gt;"Off")*(INDEX(Departments!$F$2:$F$13,$W87)="Closed")+(P87&lt;&gt;"Off")*(INDEX(Departments!$G$2:$G$13,$W87)="Closed")+(Q87&lt;&gt;"Off")*(INDEX(Departments!$H$2:$H$13,$W87)="Closed")+(R87&lt;&gt;"Off")*(INDEX(Departments!$I$2:$I$13,$W87)="Closed")&gt;0,"Note: works on a closed OPD day","OK"))))))</f>
        <v/>
      </c>
      <c r="U87" s="20">
        <f>C87&amp;"|"&amp;E87</f>
        <v/>
      </c>
      <c r="V87" s="20">
        <f>IF(A87="","",IFERROR(VALUE(MID(A87,4,4)),0))</f>
        <v/>
      </c>
      <c r="W87" s="20">
        <f>IFERROR(MATCH(C87,Departments!$B$2:$B$13,0),"")</f>
        <v/>
      </c>
    </row>
    <row r="88">
      <c r="A88" s="14" t="n"/>
      <c r="B88" s="14" t="n"/>
      <c r="C88" s="14" t="n"/>
      <c r="D88" s="14" t="n"/>
      <c r="E88" s="14" t="n"/>
      <c r="F88" s="14" t="n"/>
      <c r="G88" s="15" t="n"/>
      <c r="H88" s="16" t="n"/>
      <c r="I88" s="17" t="n"/>
      <c r="J88" s="14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8">
        <f>IF(A88="","",COUNTIF(M88:R88,"Full")*2+COUNTIF(M88:R88,"AM")+COUNTIF(M88:R88,"PM"))</f>
        <v/>
      </c>
      <c r="T88" s="19">
        <f>IF(A88="","",IF(COUNTIF($A$2:$A$200,A88)&gt;1,"Duplicate Staff ID",IF(COUNTA(B88:I88)+COUNTA(K88:L88)&lt;10,"Fill in all details",IF($W88="","Pick a department",IF(COUNTIF(M88:R88,"Off")=6,"No OPD days set",IF((M88&lt;&gt;"Off")*(INDEX(Departments!$D$2:$D$13,$W88)="Closed")+(N88&lt;&gt;"Off")*(INDEX(Departments!$E$2:$E$13,$W88)="Closed")+(O88&lt;&gt;"Off")*(INDEX(Departments!$F$2:$F$13,$W88)="Closed")+(P88&lt;&gt;"Off")*(INDEX(Departments!$G$2:$G$13,$W88)="Closed")+(Q88&lt;&gt;"Off")*(INDEX(Departments!$H$2:$H$13,$W88)="Closed")+(R88&lt;&gt;"Off")*(INDEX(Departments!$I$2:$I$13,$W88)="Closed")&gt;0,"Note: works on a closed OPD day","OK"))))))</f>
        <v/>
      </c>
      <c r="U88" s="20">
        <f>C88&amp;"|"&amp;E88</f>
        <v/>
      </c>
      <c r="V88" s="20">
        <f>IF(A88="","",IFERROR(VALUE(MID(A88,4,4)),0))</f>
        <v/>
      </c>
      <c r="W88" s="20">
        <f>IFERROR(MATCH(C88,Departments!$B$2:$B$13,0),"")</f>
        <v/>
      </c>
    </row>
    <row r="89">
      <c r="A89" s="14" t="n"/>
      <c r="B89" s="14" t="n"/>
      <c r="C89" s="14" t="n"/>
      <c r="D89" s="14" t="n"/>
      <c r="E89" s="14" t="n"/>
      <c r="F89" s="14" t="n"/>
      <c r="G89" s="15" t="n"/>
      <c r="H89" s="16" t="n"/>
      <c r="I89" s="17" t="n"/>
      <c r="J89" s="14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8">
        <f>IF(A89="","",COUNTIF(M89:R89,"Full")*2+COUNTIF(M89:R89,"AM")+COUNTIF(M89:R89,"PM"))</f>
        <v/>
      </c>
      <c r="T89" s="19">
        <f>IF(A89="","",IF(COUNTIF($A$2:$A$200,A89)&gt;1,"Duplicate Staff ID",IF(COUNTA(B89:I89)+COUNTA(K89:L89)&lt;10,"Fill in all details",IF($W89="","Pick a department",IF(COUNTIF(M89:R89,"Off")=6,"No OPD days set",IF((M89&lt;&gt;"Off")*(INDEX(Departments!$D$2:$D$13,$W89)="Closed")+(N89&lt;&gt;"Off")*(INDEX(Departments!$E$2:$E$13,$W89)="Closed")+(O89&lt;&gt;"Off")*(INDEX(Departments!$F$2:$F$13,$W89)="Closed")+(P89&lt;&gt;"Off")*(INDEX(Departments!$G$2:$G$13,$W89)="Closed")+(Q89&lt;&gt;"Off")*(INDEX(Departments!$H$2:$H$13,$W89)="Closed")+(R89&lt;&gt;"Off")*(INDEX(Departments!$I$2:$I$13,$W89)="Closed")&gt;0,"Note: works on a closed OPD day","OK"))))))</f>
        <v/>
      </c>
      <c r="U89" s="20">
        <f>C89&amp;"|"&amp;E89</f>
        <v/>
      </c>
      <c r="V89" s="20">
        <f>IF(A89="","",IFERROR(VALUE(MID(A89,4,4)),0))</f>
        <v/>
      </c>
      <c r="W89" s="20">
        <f>IFERROR(MATCH(C89,Departments!$B$2:$B$13,0),"")</f>
        <v/>
      </c>
    </row>
    <row r="90">
      <c r="A90" s="14" t="n"/>
      <c r="B90" s="14" t="n"/>
      <c r="C90" s="14" t="n"/>
      <c r="D90" s="14" t="n"/>
      <c r="E90" s="14" t="n"/>
      <c r="F90" s="14" t="n"/>
      <c r="G90" s="15" t="n"/>
      <c r="H90" s="16" t="n"/>
      <c r="I90" s="17" t="n"/>
      <c r="J90" s="14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8">
        <f>IF(A90="","",COUNTIF(M90:R90,"Full")*2+COUNTIF(M90:R90,"AM")+COUNTIF(M90:R90,"PM"))</f>
        <v/>
      </c>
      <c r="T90" s="19">
        <f>IF(A90="","",IF(COUNTIF($A$2:$A$200,A90)&gt;1,"Duplicate Staff ID",IF(COUNTA(B90:I90)+COUNTA(K90:L90)&lt;10,"Fill in all details",IF($W90="","Pick a department",IF(COUNTIF(M90:R90,"Off")=6,"No OPD days set",IF((M90&lt;&gt;"Off")*(INDEX(Departments!$D$2:$D$13,$W90)="Closed")+(N90&lt;&gt;"Off")*(INDEX(Departments!$E$2:$E$13,$W90)="Closed")+(O90&lt;&gt;"Off")*(INDEX(Departments!$F$2:$F$13,$W90)="Closed")+(P90&lt;&gt;"Off")*(INDEX(Departments!$G$2:$G$13,$W90)="Closed")+(Q90&lt;&gt;"Off")*(INDEX(Departments!$H$2:$H$13,$W90)="Closed")+(R90&lt;&gt;"Off")*(INDEX(Departments!$I$2:$I$13,$W90)="Closed")&gt;0,"Note: works on a closed OPD day","OK"))))))</f>
        <v/>
      </c>
      <c r="U90" s="20">
        <f>C90&amp;"|"&amp;E90</f>
        <v/>
      </c>
      <c r="V90" s="20">
        <f>IF(A90="","",IFERROR(VALUE(MID(A90,4,4)),0))</f>
        <v/>
      </c>
      <c r="W90" s="20">
        <f>IFERROR(MATCH(C90,Departments!$B$2:$B$13,0),"")</f>
        <v/>
      </c>
    </row>
    <row r="91">
      <c r="A91" s="14" t="n"/>
      <c r="B91" s="14" t="n"/>
      <c r="C91" s="14" t="n"/>
      <c r="D91" s="14" t="n"/>
      <c r="E91" s="14" t="n"/>
      <c r="F91" s="14" t="n"/>
      <c r="G91" s="15" t="n"/>
      <c r="H91" s="16" t="n"/>
      <c r="I91" s="17" t="n"/>
      <c r="J91" s="14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8">
        <f>IF(A91="","",COUNTIF(M91:R91,"Full")*2+COUNTIF(M91:R91,"AM")+COUNTIF(M91:R91,"PM"))</f>
        <v/>
      </c>
      <c r="T91" s="19">
        <f>IF(A91="","",IF(COUNTIF($A$2:$A$200,A91)&gt;1,"Duplicate Staff ID",IF(COUNTA(B91:I91)+COUNTA(K91:L91)&lt;10,"Fill in all details",IF($W91="","Pick a department",IF(COUNTIF(M91:R91,"Off")=6,"No OPD days set",IF((M91&lt;&gt;"Off")*(INDEX(Departments!$D$2:$D$13,$W91)="Closed")+(N91&lt;&gt;"Off")*(INDEX(Departments!$E$2:$E$13,$W91)="Closed")+(O91&lt;&gt;"Off")*(INDEX(Departments!$F$2:$F$13,$W91)="Closed")+(P91&lt;&gt;"Off")*(INDEX(Departments!$G$2:$G$13,$W91)="Closed")+(Q91&lt;&gt;"Off")*(INDEX(Departments!$H$2:$H$13,$W91)="Closed")+(R91&lt;&gt;"Off")*(INDEX(Departments!$I$2:$I$13,$W91)="Closed")&gt;0,"Note: works on a closed OPD day","OK"))))))</f>
        <v/>
      </c>
      <c r="U91" s="20">
        <f>C91&amp;"|"&amp;E91</f>
        <v/>
      </c>
      <c r="V91" s="20">
        <f>IF(A91="","",IFERROR(VALUE(MID(A91,4,4)),0))</f>
        <v/>
      </c>
      <c r="W91" s="20">
        <f>IFERROR(MATCH(C91,Departments!$B$2:$B$13,0),"")</f>
        <v/>
      </c>
    </row>
    <row r="92">
      <c r="A92" s="14" t="n"/>
      <c r="B92" s="14" t="n"/>
      <c r="C92" s="14" t="n"/>
      <c r="D92" s="14" t="n"/>
      <c r="E92" s="14" t="n"/>
      <c r="F92" s="14" t="n"/>
      <c r="G92" s="15" t="n"/>
      <c r="H92" s="16" t="n"/>
      <c r="I92" s="17" t="n"/>
      <c r="J92" s="14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8">
        <f>IF(A92="","",COUNTIF(M92:R92,"Full")*2+COUNTIF(M92:R92,"AM")+COUNTIF(M92:R92,"PM"))</f>
        <v/>
      </c>
      <c r="T92" s="19">
        <f>IF(A92="","",IF(COUNTIF($A$2:$A$200,A92)&gt;1,"Duplicate Staff ID",IF(COUNTA(B92:I92)+COUNTA(K92:L92)&lt;10,"Fill in all details",IF($W92="","Pick a department",IF(COUNTIF(M92:R92,"Off")=6,"No OPD days set",IF((M92&lt;&gt;"Off")*(INDEX(Departments!$D$2:$D$13,$W92)="Closed")+(N92&lt;&gt;"Off")*(INDEX(Departments!$E$2:$E$13,$W92)="Closed")+(O92&lt;&gt;"Off")*(INDEX(Departments!$F$2:$F$13,$W92)="Closed")+(P92&lt;&gt;"Off")*(INDEX(Departments!$G$2:$G$13,$W92)="Closed")+(Q92&lt;&gt;"Off")*(INDEX(Departments!$H$2:$H$13,$W92)="Closed")+(R92&lt;&gt;"Off")*(INDEX(Departments!$I$2:$I$13,$W92)="Closed")&gt;0,"Note: works on a closed OPD day","OK"))))))</f>
        <v/>
      </c>
      <c r="U92" s="20">
        <f>C92&amp;"|"&amp;E92</f>
        <v/>
      </c>
      <c r="V92" s="20">
        <f>IF(A92="","",IFERROR(VALUE(MID(A92,4,4)),0))</f>
        <v/>
      </c>
      <c r="W92" s="20">
        <f>IFERROR(MATCH(C92,Departments!$B$2:$B$13,0),"")</f>
        <v/>
      </c>
    </row>
    <row r="93">
      <c r="A93" s="14" t="n"/>
      <c r="B93" s="14" t="n"/>
      <c r="C93" s="14" t="n"/>
      <c r="D93" s="14" t="n"/>
      <c r="E93" s="14" t="n"/>
      <c r="F93" s="14" t="n"/>
      <c r="G93" s="15" t="n"/>
      <c r="H93" s="16" t="n"/>
      <c r="I93" s="17" t="n"/>
      <c r="J93" s="14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8">
        <f>IF(A93="","",COUNTIF(M93:R93,"Full")*2+COUNTIF(M93:R93,"AM")+COUNTIF(M93:R93,"PM"))</f>
        <v/>
      </c>
      <c r="T93" s="19">
        <f>IF(A93="","",IF(COUNTIF($A$2:$A$200,A93)&gt;1,"Duplicate Staff ID",IF(COUNTA(B93:I93)+COUNTA(K93:L93)&lt;10,"Fill in all details",IF($W93="","Pick a department",IF(COUNTIF(M93:R93,"Off")=6,"No OPD days set",IF((M93&lt;&gt;"Off")*(INDEX(Departments!$D$2:$D$13,$W93)="Closed")+(N93&lt;&gt;"Off")*(INDEX(Departments!$E$2:$E$13,$W93)="Closed")+(O93&lt;&gt;"Off")*(INDEX(Departments!$F$2:$F$13,$W93)="Closed")+(P93&lt;&gt;"Off")*(INDEX(Departments!$G$2:$G$13,$W93)="Closed")+(Q93&lt;&gt;"Off")*(INDEX(Departments!$H$2:$H$13,$W93)="Closed")+(R93&lt;&gt;"Off")*(INDEX(Departments!$I$2:$I$13,$W93)="Closed")&gt;0,"Note: works on a closed OPD day","OK"))))))</f>
        <v/>
      </c>
      <c r="U93" s="20">
        <f>C93&amp;"|"&amp;E93</f>
        <v/>
      </c>
      <c r="V93" s="20">
        <f>IF(A93="","",IFERROR(VALUE(MID(A93,4,4)),0))</f>
        <v/>
      </c>
      <c r="W93" s="20">
        <f>IFERROR(MATCH(C93,Departments!$B$2:$B$13,0),"")</f>
        <v/>
      </c>
    </row>
    <row r="94">
      <c r="A94" s="14" t="n"/>
      <c r="B94" s="14" t="n"/>
      <c r="C94" s="14" t="n"/>
      <c r="D94" s="14" t="n"/>
      <c r="E94" s="14" t="n"/>
      <c r="F94" s="14" t="n"/>
      <c r="G94" s="15" t="n"/>
      <c r="H94" s="16" t="n"/>
      <c r="I94" s="17" t="n"/>
      <c r="J94" s="14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8">
        <f>IF(A94="","",COUNTIF(M94:R94,"Full")*2+COUNTIF(M94:R94,"AM")+COUNTIF(M94:R94,"PM"))</f>
        <v/>
      </c>
      <c r="T94" s="19">
        <f>IF(A94="","",IF(COUNTIF($A$2:$A$200,A94)&gt;1,"Duplicate Staff ID",IF(COUNTA(B94:I94)+COUNTA(K94:L94)&lt;10,"Fill in all details",IF($W94="","Pick a department",IF(COUNTIF(M94:R94,"Off")=6,"No OPD days set",IF((M94&lt;&gt;"Off")*(INDEX(Departments!$D$2:$D$13,$W94)="Closed")+(N94&lt;&gt;"Off")*(INDEX(Departments!$E$2:$E$13,$W94)="Closed")+(O94&lt;&gt;"Off")*(INDEX(Departments!$F$2:$F$13,$W94)="Closed")+(P94&lt;&gt;"Off")*(INDEX(Departments!$G$2:$G$13,$W94)="Closed")+(Q94&lt;&gt;"Off")*(INDEX(Departments!$H$2:$H$13,$W94)="Closed")+(R94&lt;&gt;"Off")*(INDEX(Departments!$I$2:$I$13,$W94)="Closed")&gt;0,"Note: works on a closed OPD day","OK"))))))</f>
        <v/>
      </c>
      <c r="U94" s="20">
        <f>C94&amp;"|"&amp;E94</f>
        <v/>
      </c>
      <c r="V94" s="20">
        <f>IF(A94="","",IFERROR(VALUE(MID(A94,4,4)),0))</f>
        <v/>
      </c>
      <c r="W94" s="20">
        <f>IFERROR(MATCH(C94,Departments!$B$2:$B$13,0),"")</f>
        <v/>
      </c>
    </row>
    <row r="95">
      <c r="A95" s="14" t="n"/>
      <c r="B95" s="14" t="n"/>
      <c r="C95" s="14" t="n"/>
      <c r="D95" s="14" t="n"/>
      <c r="E95" s="14" t="n"/>
      <c r="F95" s="14" t="n"/>
      <c r="G95" s="15" t="n"/>
      <c r="H95" s="16" t="n"/>
      <c r="I95" s="17" t="n"/>
      <c r="J95" s="14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8">
        <f>IF(A95="","",COUNTIF(M95:R95,"Full")*2+COUNTIF(M95:R95,"AM")+COUNTIF(M95:R95,"PM"))</f>
        <v/>
      </c>
      <c r="T95" s="19">
        <f>IF(A95="","",IF(COUNTIF($A$2:$A$200,A95)&gt;1,"Duplicate Staff ID",IF(COUNTA(B95:I95)+COUNTA(K95:L95)&lt;10,"Fill in all details",IF($W95="","Pick a department",IF(COUNTIF(M95:R95,"Off")=6,"No OPD days set",IF((M95&lt;&gt;"Off")*(INDEX(Departments!$D$2:$D$13,$W95)="Closed")+(N95&lt;&gt;"Off")*(INDEX(Departments!$E$2:$E$13,$W95)="Closed")+(O95&lt;&gt;"Off")*(INDEX(Departments!$F$2:$F$13,$W95)="Closed")+(P95&lt;&gt;"Off")*(INDEX(Departments!$G$2:$G$13,$W95)="Closed")+(Q95&lt;&gt;"Off")*(INDEX(Departments!$H$2:$H$13,$W95)="Closed")+(R95&lt;&gt;"Off")*(INDEX(Departments!$I$2:$I$13,$W95)="Closed")&gt;0,"Note: works on a closed OPD day","OK"))))))</f>
        <v/>
      </c>
      <c r="U95" s="20">
        <f>C95&amp;"|"&amp;E95</f>
        <v/>
      </c>
      <c r="V95" s="20">
        <f>IF(A95="","",IFERROR(VALUE(MID(A95,4,4)),0))</f>
        <v/>
      </c>
      <c r="W95" s="20">
        <f>IFERROR(MATCH(C95,Departments!$B$2:$B$13,0),"")</f>
        <v/>
      </c>
    </row>
    <row r="96">
      <c r="A96" s="14" t="n"/>
      <c r="B96" s="14" t="n"/>
      <c r="C96" s="14" t="n"/>
      <c r="D96" s="14" t="n"/>
      <c r="E96" s="14" t="n"/>
      <c r="F96" s="14" t="n"/>
      <c r="G96" s="15" t="n"/>
      <c r="H96" s="16" t="n"/>
      <c r="I96" s="17" t="n"/>
      <c r="J96" s="14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8">
        <f>IF(A96="","",COUNTIF(M96:R96,"Full")*2+COUNTIF(M96:R96,"AM")+COUNTIF(M96:R96,"PM"))</f>
        <v/>
      </c>
      <c r="T96" s="19">
        <f>IF(A96="","",IF(COUNTIF($A$2:$A$200,A96)&gt;1,"Duplicate Staff ID",IF(COUNTA(B96:I96)+COUNTA(K96:L96)&lt;10,"Fill in all details",IF($W96="","Pick a department",IF(COUNTIF(M96:R96,"Off")=6,"No OPD days set",IF((M96&lt;&gt;"Off")*(INDEX(Departments!$D$2:$D$13,$W96)="Closed")+(N96&lt;&gt;"Off")*(INDEX(Departments!$E$2:$E$13,$W96)="Closed")+(O96&lt;&gt;"Off")*(INDEX(Departments!$F$2:$F$13,$W96)="Closed")+(P96&lt;&gt;"Off")*(INDEX(Departments!$G$2:$G$13,$W96)="Closed")+(Q96&lt;&gt;"Off")*(INDEX(Departments!$H$2:$H$13,$W96)="Closed")+(R96&lt;&gt;"Off")*(INDEX(Departments!$I$2:$I$13,$W96)="Closed")&gt;0,"Note: works on a closed OPD day","OK"))))))</f>
        <v/>
      </c>
      <c r="U96" s="20">
        <f>C96&amp;"|"&amp;E96</f>
        <v/>
      </c>
      <c r="V96" s="20">
        <f>IF(A96="","",IFERROR(VALUE(MID(A96,4,4)),0))</f>
        <v/>
      </c>
      <c r="W96" s="20">
        <f>IFERROR(MATCH(C96,Departments!$B$2:$B$13,0),"")</f>
        <v/>
      </c>
    </row>
    <row r="97">
      <c r="A97" s="14" t="n"/>
      <c r="B97" s="14" t="n"/>
      <c r="C97" s="14" t="n"/>
      <c r="D97" s="14" t="n"/>
      <c r="E97" s="14" t="n"/>
      <c r="F97" s="14" t="n"/>
      <c r="G97" s="15" t="n"/>
      <c r="H97" s="16" t="n"/>
      <c r="I97" s="17" t="n"/>
      <c r="J97" s="14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8">
        <f>IF(A97="","",COUNTIF(M97:R97,"Full")*2+COUNTIF(M97:R97,"AM")+COUNTIF(M97:R97,"PM"))</f>
        <v/>
      </c>
      <c r="T97" s="19">
        <f>IF(A97="","",IF(COUNTIF($A$2:$A$200,A97)&gt;1,"Duplicate Staff ID",IF(COUNTA(B97:I97)+COUNTA(K97:L97)&lt;10,"Fill in all details",IF($W97="","Pick a department",IF(COUNTIF(M97:R97,"Off")=6,"No OPD days set",IF((M97&lt;&gt;"Off")*(INDEX(Departments!$D$2:$D$13,$W97)="Closed")+(N97&lt;&gt;"Off")*(INDEX(Departments!$E$2:$E$13,$W97)="Closed")+(O97&lt;&gt;"Off")*(INDEX(Departments!$F$2:$F$13,$W97)="Closed")+(P97&lt;&gt;"Off")*(INDEX(Departments!$G$2:$G$13,$W97)="Closed")+(Q97&lt;&gt;"Off")*(INDEX(Departments!$H$2:$H$13,$W97)="Closed")+(R97&lt;&gt;"Off")*(INDEX(Departments!$I$2:$I$13,$W97)="Closed")&gt;0,"Note: works on a closed OPD day","OK"))))))</f>
        <v/>
      </c>
      <c r="U97" s="20">
        <f>C97&amp;"|"&amp;E97</f>
        <v/>
      </c>
      <c r="V97" s="20">
        <f>IF(A97="","",IFERROR(VALUE(MID(A97,4,4)),0))</f>
        <v/>
      </c>
      <c r="W97" s="20">
        <f>IFERROR(MATCH(C97,Departments!$B$2:$B$13,0),"")</f>
        <v/>
      </c>
    </row>
    <row r="98">
      <c r="A98" s="14" t="n"/>
      <c r="B98" s="14" t="n"/>
      <c r="C98" s="14" t="n"/>
      <c r="D98" s="14" t="n"/>
      <c r="E98" s="14" t="n"/>
      <c r="F98" s="14" t="n"/>
      <c r="G98" s="15" t="n"/>
      <c r="H98" s="16" t="n"/>
      <c r="I98" s="17" t="n"/>
      <c r="J98" s="14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8">
        <f>IF(A98="","",COUNTIF(M98:R98,"Full")*2+COUNTIF(M98:R98,"AM")+COUNTIF(M98:R98,"PM"))</f>
        <v/>
      </c>
      <c r="T98" s="19">
        <f>IF(A98="","",IF(COUNTIF($A$2:$A$200,A98)&gt;1,"Duplicate Staff ID",IF(COUNTA(B98:I98)+COUNTA(K98:L98)&lt;10,"Fill in all details",IF($W98="","Pick a department",IF(COUNTIF(M98:R98,"Off")=6,"No OPD days set",IF((M98&lt;&gt;"Off")*(INDEX(Departments!$D$2:$D$13,$W98)="Closed")+(N98&lt;&gt;"Off")*(INDEX(Departments!$E$2:$E$13,$W98)="Closed")+(O98&lt;&gt;"Off")*(INDEX(Departments!$F$2:$F$13,$W98)="Closed")+(P98&lt;&gt;"Off")*(INDEX(Departments!$G$2:$G$13,$W98)="Closed")+(Q98&lt;&gt;"Off")*(INDEX(Departments!$H$2:$H$13,$W98)="Closed")+(R98&lt;&gt;"Off")*(INDEX(Departments!$I$2:$I$13,$W98)="Closed")&gt;0,"Note: works on a closed OPD day","OK"))))))</f>
        <v/>
      </c>
      <c r="U98" s="20">
        <f>C98&amp;"|"&amp;E98</f>
        <v/>
      </c>
      <c r="V98" s="20">
        <f>IF(A98="","",IFERROR(VALUE(MID(A98,4,4)),0))</f>
        <v/>
      </c>
      <c r="W98" s="20">
        <f>IFERROR(MATCH(C98,Departments!$B$2:$B$13,0),"")</f>
        <v/>
      </c>
    </row>
    <row r="99">
      <c r="A99" s="14" t="n"/>
      <c r="B99" s="14" t="n"/>
      <c r="C99" s="14" t="n"/>
      <c r="D99" s="14" t="n"/>
      <c r="E99" s="14" t="n"/>
      <c r="F99" s="14" t="n"/>
      <c r="G99" s="15" t="n"/>
      <c r="H99" s="16" t="n"/>
      <c r="I99" s="17" t="n"/>
      <c r="J99" s="14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8">
        <f>IF(A99="","",COUNTIF(M99:R99,"Full")*2+COUNTIF(M99:R99,"AM")+COUNTIF(M99:R99,"PM"))</f>
        <v/>
      </c>
      <c r="T99" s="19">
        <f>IF(A99="","",IF(COUNTIF($A$2:$A$200,A99)&gt;1,"Duplicate Staff ID",IF(COUNTA(B99:I99)+COUNTA(K99:L99)&lt;10,"Fill in all details",IF($W99="","Pick a department",IF(COUNTIF(M99:R99,"Off")=6,"No OPD days set",IF((M99&lt;&gt;"Off")*(INDEX(Departments!$D$2:$D$13,$W99)="Closed")+(N99&lt;&gt;"Off")*(INDEX(Departments!$E$2:$E$13,$W99)="Closed")+(O99&lt;&gt;"Off")*(INDEX(Departments!$F$2:$F$13,$W99)="Closed")+(P99&lt;&gt;"Off")*(INDEX(Departments!$G$2:$G$13,$W99)="Closed")+(Q99&lt;&gt;"Off")*(INDEX(Departments!$H$2:$H$13,$W99)="Closed")+(R99&lt;&gt;"Off")*(INDEX(Departments!$I$2:$I$13,$W99)="Closed")&gt;0,"Note: works on a closed OPD day","OK"))))))</f>
        <v/>
      </c>
      <c r="U99" s="20">
        <f>C99&amp;"|"&amp;E99</f>
        <v/>
      </c>
      <c r="V99" s="20">
        <f>IF(A99="","",IFERROR(VALUE(MID(A99,4,4)),0))</f>
        <v/>
      </c>
      <c r="W99" s="20">
        <f>IFERROR(MATCH(C99,Departments!$B$2:$B$13,0),"")</f>
        <v/>
      </c>
    </row>
    <row r="100">
      <c r="A100" s="14" t="n"/>
      <c r="B100" s="14" t="n"/>
      <c r="C100" s="14" t="n"/>
      <c r="D100" s="14" t="n"/>
      <c r="E100" s="14" t="n"/>
      <c r="F100" s="14" t="n"/>
      <c r="G100" s="15" t="n"/>
      <c r="H100" s="16" t="n"/>
      <c r="I100" s="17" t="n"/>
      <c r="J100" s="14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8">
        <f>IF(A100="","",COUNTIF(M100:R100,"Full")*2+COUNTIF(M100:R100,"AM")+COUNTIF(M100:R100,"PM"))</f>
        <v/>
      </c>
      <c r="T100" s="19">
        <f>IF(A100="","",IF(COUNTIF($A$2:$A$200,A100)&gt;1,"Duplicate Staff ID",IF(COUNTA(B100:I100)+COUNTA(K100:L100)&lt;10,"Fill in all details",IF($W100="","Pick a department",IF(COUNTIF(M100:R100,"Off")=6,"No OPD days set",IF((M100&lt;&gt;"Off")*(INDEX(Departments!$D$2:$D$13,$W100)="Closed")+(N100&lt;&gt;"Off")*(INDEX(Departments!$E$2:$E$13,$W100)="Closed")+(O100&lt;&gt;"Off")*(INDEX(Departments!$F$2:$F$13,$W100)="Closed")+(P100&lt;&gt;"Off")*(INDEX(Departments!$G$2:$G$13,$W100)="Closed")+(Q100&lt;&gt;"Off")*(INDEX(Departments!$H$2:$H$13,$W100)="Closed")+(R100&lt;&gt;"Off")*(INDEX(Departments!$I$2:$I$13,$W100)="Closed")&gt;0,"Note: works on a closed OPD day","OK"))))))</f>
        <v/>
      </c>
      <c r="U100" s="20">
        <f>C100&amp;"|"&amp;E100</f>
        <v/>
      </c>
      <c r="V100" s="20">
        <f>IF(A100="","",IFERROR(VALUE(MID(A100,4,4)),0))</f>
        <v/>
      </c>
      <c r="W100" s="20">
        <f>IFERROR(MATCH(C100,Departments!$B$2:$B$13,0),"")</f>
        <v/>
      </c>
    </row>
    <row r="101">
      <c r="A101" s="14" t="n"/>
      <c r="B101" s="14" t="n"/>
      <c r="C101" s="14" t="n"/>
      <c r="D101" s="14" t="n"/>
      <c r="E101" s="14" t="n"/>
      <c r="F101" s="14" t="n"/>
      <c r="G101" s="15" t="n"/>
      <c r="H101" s="16" t="n"/>
      <c r="I101" s="17" t="n"/>
      <c r="J101" s="14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8">
        <f>IF(A101="","",COUNTIF(M101:R101,"Full")*2+COUNTIF(M101:R101,"AM")+COUNTIF(M101:R101,"PM"))</f>
        <v/>
      </c>
      <c r="T101" s="19">
        <f>IF(A101="","",IF(COUNTIF($A$2:$A$200,A101)&gt;1,"Duplicate Staff ID",IF(COUNTA(B101:I101)+COUNTA(K101:L101)&lt;10,"Fill in all details",IF($W101="","Pick a department",IF(COUNTIF(M101:R101,"Off")=6,"No OPD days set",IF((M101&lt;&gt;"Off")*(INDEX(Departments!$D$2:$D$13,$W101)="Closed")+(N101&lt;&gt;"Off")*(INDEX(Departments!$E$2:$E$13,$W101)="Closed")+(O101&lt;&gt;"Off")*(INDEX(Departments!$F$2:$F$13,$W101)="Closed")+(P101&lt;&gt;"Off")*(INDEX(Departments!$G$2:$G$13,$W101)="Closed")+(Q101&lt;&gt;"Off")*(INDEX(Departments!$H$2:$H$13,$W101)="Closed")+(R101&lt;&gt;"Off")*(INDEX(Departments!$I$2:$I$13,$W101)="Closed")&gt;0,"Note: works on a closed OPD day","OK"))))))</f>
        <v/>
      </c>
      <c r="U101" s="20">
        <f>C101&amp;"|"&amp;E101</f>
        <v/>
      </c>
      <c r="V101" s="20">
        <f>IF(A101="","",IFERROR(VALUE(MID(A101,4,4)),0))</f>
        <v/>
      </c>
      <c r="W101" s="20">
        <f>IFERROR(MATCH(C101,Departments!$B$2:$B$13,0),"")</f>
        <v/>
      </c>
    </row>
    <row r="102">
      <c r="A102" s="14" t="n"/>
      <c r="B102" s="14" t="n"/>
      <c r="C102" s="14" t="n"/>
      <c r="D102" s="14" t="n"/>
      <c r="E102" s="14" t="n"/>
      <c r="F102" s="14" t="n"/>
      <c r="G102" s="15" t="n"/>
      <c r="H102" s="16" t="n"/>
      <c r="I102" s="17" t="n"/>
      <c r="J102" s="14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8">
        <f>IF(A102="","",COUNTIF(M102:R102,"Full")*2+COUNTIF(M102:R102,"AM")+COUNTIF(M102:R102,"PM"))</f>
        <v/>
      </c>
      <c r="T102" s="19">
        <f>IF(A102="","",IF(COUNTIF($A$2:$A$200,A102)&gt;1,"Duplicate Staff ID",IF(COUNTA(B102:I102)+COUNTA(K102:L102)&lt;10,"Fill in all details",IF($W102="","Pick a department",IF(COUNTIF(M102:R102,"Off")=6,"No OPD days set",IF((M102&lt;&gt;"Off")*(INDEX(Departments!$D$2:$D$13,$W102)="Closed")+(N102&lt;&gt;"Off")*(INDEX(Departments!$E$2:$E$13,$W102)="Closed")+(O102&lt;&gt;"Off")*(INDEX(Departments!$F$2:$F$13,$W102)="Closed")+(P102&lt;&gt;"Off")*(INDEX(Departments!$G$2:$G$13,$W102)="Closed")+(Q102&lt;&gt;"Off")*(INDEX(Departments!$H$2:$H$13,$W102)="Closed")+(R102&lt;&gt;"Off")*(INDEX(Departments!$I$2:$I$13,$W102)="Closed")&gt;0,"Note: works on a closed OPD day","OK"))))))</f>
        <v/>
      </c>
      <c r="U102" s="20">
        <f>C102&amp;"|"&amp;E102</f>
        <v/>
      </c>
      <c r="V102" s="20">
        <f>IF(A102="","",IFERROR(VALUE(MID(A102,4,4)),0))</f>
        <v/>
      </c>
      <c r="W102" s="20">
        <f>IFERROR(MATCH(C102,Departments!$B$2:$B$13,0),"")</f>
        <v/>
      </c>
    </row>
    <row r="103">
      <c r="A103" s="14" t="n"/>
      <c r="B103" s="14" t="n"/>
      <c r="C103" s="14" t="n"/>
      <c r="D103" s="14" t="n"/>
      <c r="E103" s="14" t="n"/>
      <c r="F103" s="14" t="n"/>
      <c r="G103" s="15" t="n"/>
      <c r="H103" s="16" t="n"/>
      <c r="I103" s="17" t="n"/>
      <c r="J103" s="14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8">
        <f>IF(A103="","",COUNTIF(M103:R103,"Full")*2+COUNTIF(M103:R103,"AM")+COUNTIF(M103:R103,"PM"))</f>
        <v/>
      </c>
      <c r="T103" s="19">
        <f>IF(A103="","",IF(COUNTIF($A$2:$A$200,A103)&gt;1,"Duplicate Staff ID",IF(COUNTA(B103:I103)+COUNTA(K103:L103)&lt;10,"Fill in all details",IF($W103="","Pick a department",IF(COUNTIF(M103:R103,"Off")=6,"No OPD days set",IF((M103&lt;&gt;"Off")*(INDEX(Departments!$D$2:$D$13,$W103)="Closed")+(N103&lt;&gt;"Off")*(INDEX(Departments!$E$2:$E$13,$W103)="Closed")+(O103&lt;&gt;"Off")*(INDEX(Departments!$F$2:$F$13,$W103)="Closed")+(P103&lt;&gt;"Off")*(INDEX(Departments!$G$2:$G$13,$W103)="Closed")+(Q103&lt;&gt;"Off")*(INDEX(Departments!$H$2:$H$13,$W103)="Closed")+(R103&lt;&gt;"Off")*(INDEX(Departments!$I$2:$I$13,$W103)="Closed")&gt;0,"Note: works on a closed OPD day","OK"))))))</f>
        <v/>
      </c>
      <c r="U103" s="20">
        <f>C103&amp;"|"&amp;E103</f>
        <v/>
      </c>
      <c r="V103" s="20">
        <f>IF(A103="","",IFERROR(VALUE(MID(A103,4,4)),0))</f>
        <v/>
      </c>
      <c r="W103" s="20">
        <f>IFERROR(MATCH(C103,Departments!$B$2:$B$13,0),"")</f>
        <v/>
      </c>
    </row>
    <row r="104">
      <c r="A104" s="14" t="n"/>
      <c r="B104" s="14" t="n"/>
      <c r="C104" s="14" t="n"/>
      <c r="D104" s="14" t="n"/>
      <c r="E104" s="14" t="n"/>
      <c r="F104" s="14" t="n"/>
      <c r="G104" s="15" t="n"/>
      <c r="H104" s="16" t="n"/>
      <c r="I104" s="17" t="n"/>
      <c r="J104" s="14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8">
        <f>IF(A104="","",COUNTIF(M104:R104,"Full")*2+COUNTIF(M104:R104,"AM")+COUNTIF(M104:R104,"PM"))</f>
        <v/>
      </c>
      <c r="T104" s="19">
        <f>IF(A104="","",IF(COUNTIF($A$2:$A$200,A104)&gt;1,"Duplicate Staff ID",IF(COUNTA(B104:I104)+COUNTA(K104:L104)&lt;10,"Fill in all details",IF($W104="","Pick a department",IF(COUNTIF(M104:R104,"Off")=6,"No OPD days set",IF((M104&lt;&gt;"Off")*(INDEX(Departments!$D$2:$D$13,$W104)="Closed")+(N104&lt;&gt;"Off")*(INDEX(Departments!$E$2:$E$13,$W104)="Closed")+(O104&lt;&gt;"Off")*(INDEX(Departments!$F$2:$F$13,$W104)="Closed")+(P104&lt;&gt;"Off")*(INDEX(Departments!$G$2:$G$13,$W104)="Closed")+(Q104&lt;&gt;"Off")*(INDEX(Departments!$H$2:$H$13,$W104)="Closed")+(R104&lt;&gt;"Off")*(INDEX(Departments!$I$2:$I$13,$W104)="Closed")&gt;0,"Note: works on a closed OPD day","OK"))))))</f>
        <v/>
      </c>
      <c r="U104" s="20">
        <f>C104&amp;"|"&amp;E104</f>
        <v/>
      </c>
      <c r="V104" s="20">
        <f>IF(A104="","",IFERROR(VALUE(MID(A104,4,4)),0))</f>
        <v/>
      </c>
      <c r="W104" s="20">
        <f>IFERROR(MATCH(C104,Departments!$B$2:$B$13,0),"")</f>
        <v/>
      </c>
    </row>
    <row r="105">
      <c r="A105" s="14" t="n"/>
      <c r="B105" s="14" t="n"/>
      <c r="C105" s="14" t="n"/>
      <c r="D105" s="14" t="n"/>
      <c r="E105" s="14" t="n"/>
      <c r="F105" s="14" t="n"/>
      <c r="G105" s="15" t="n"/>
      <c r="H105" s="16" t="n"/>
      <c r="I105" s="17" t="n"/>
      <c r="J105" s="14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8">
        <f>IF(A105="","",COUNTIF(M105:R105,"Full")*2+COUNTIF(M105:R105,"AM")+COUNTIF(M105:R105,"PM"))</f>
        <v/>
      </c>
      <c r="T105" s="19">
        <f>IF(A105="","",IF(COUNTIF($A$2:$A$200,A105)&gt;1,"Duplicate Staff ID",IF(COUNTA(B105:I105)+COUNTA(K105:L105)&lt;10,"Fill in all details",IF($W105="","Pick a department",IF(COUNTIF(M105:R105,"Off")=6,"No OPD days set",IF((M105&lt;&gt;"Off")*(INDEX(Departments!$D$2:$D$13,$W105)="Closed")+(N105&lt;&gt;"Off")*(INDEX(Departments!$E$2:$E$13,$W105)="Closed")+(O105&lt;&gt;"Off")*(INDEX(Departments!$F$2:$F$13,$W105)="Closed")+(P105&lt;&gt;"Off")*(INDEX(Departments!$G$2:$G$13,$W105)="Closed")+(Q105&lt;&gt;"Off")*(INDEX(Departments!$H$2:$H$13,$W105)="Closed")+(R105&lt;&gt;"Off")*(INDEX(Departments!$I$2:$I$13,$W105)="Closed")&gt;0,"Note: works on a closed OPD day","OK"))))))</f>
        <v/>
      </c>
      <c r="U105" s="20">
        <f>C105&amp;"|"&amp;E105</f>
        <v/>
      </c>
      <c r="V105" s="20">
        <f>IF(A105="","",IFERROR(VALUE(MID(A105,4,4)),0))</f>
        <v/>
      </c>
      <c r="W105" s="20">
        <f>IFERROR(MATCH(C105,Departments!$B$2:$B$13,0),"")</f>
        <v/>
      </c>
    </row>
    <row r="106">
      <c r="A106" s="14" t="n"/>
      <c r="B106" s="14" t="n"/>
      <c r="C106" s="14" t="n"/>
      <c r="D106" s="14" t="n"/>
      <c r="E106" s="14" t="n"/>
      <c r="F106" s="14" t="n"/>
      <c r="G106" s="15" t="n"/>
      <c r="H106" s="16" t="n"/>
      <c r="I106" s="17" t="n"/>
      <c r="J106" s="14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8">
        <f>IF(A106="","",COUNTIF(M106:R106,"Full")*2+COUNTIF(M106:R106,"AM")+COUNTIF(M106:R106,"PM"))</f>
        <v/>
      </c>
      <c r="T106" s="19">
        <f>IF(A106="","",IF(COUNTIF($A$2:$A$200,A106)&gt;1,"Duplicate Staff ID",IF(COUNTA(B106:I106)+COUNTA(K106:L106)&lt;10,"Fill in all details",IF($W106="","Pick a department",IF(COUNTIF(M106:R106,"Off")=6,"No OPD days set",IF((M106&lt;&gt;"Off")*(INDEX(Departments!$D$2:$D$13,$W106)="Closed")+(N106&lt;&gt;"Off")*(INDEX(Departments!$E$2:$E$13,$W106)="Closed")+(O106&lt;&gt;"Off")*(INDEX(Departments!$F$2:$F$13,$W106)="Closed")+(P106&lt;&gt;"Off")*(INDEX(Departments!$G$2:$G$13,$W106)="Closed")+(Q106&lt;&gt;"Off")*(INDEX(Departments!$H$2:$H$13,$W106)="Closed")+(R106&lt;&gt;"Off")*(INDEX(Departments!$I$2:$I$13,$W106)="Closed")&gt;0,"Note: works on a closed OPD day","OK"))))))</f>
        <v/>
      </c>
      <c r="U106" s="20">
        <f>C106&amp;"|"&amp;E106</f>
        <v/>
      </c>
      <c r="V106" s="20">
        <f>IF(A106="","",IFERROR(VALUE(MID(A106,4,4)),0))</f>
        <v/>
      </c>
      <c r="W106" s="20">
        <f>IFERROR(MATCH(C106,Departments!$B$2:$B$13,0),"")</f>
        <v/>
      </c>
    </row>
    <row r="107">
      <c r="A107" s="14" t="n"/>
      <c r="B107" s="14" t="n"/>
      <c r="C107" s="14" t="n"/>
      <c r="D107" s="14" t="n"/>
      <c r="E107" s="14" t="n"/>
      <c r="F107" s="14" t="n"/>
      <c r="G107" s="15" t="n"/>
      <c r="H107" s="16" t="n"/>
      <c r="I107" s="17" t="n"/>
      <c r="J107" s="14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8">
        <f>IF(A107="","",COUNTIF(M107:R107,"Full")*2+COUNTIF(M107:R107,"AM")+COUNTIF(M107:R107,"PM"))</f>
        <v/>
      </c>
      <c r="T107" s="19">
        <f>IF(A107="","",IF(COUNTIF($A$2:$A$200,A107)&gt;1,"Duplicate Staff ID",IF(COUNTA(B107:I107)+COUNTA(K107:L107)&lt;10,"Fill in all details",IF($W107="","Pick a department",IF(COUNTIF(M107:R107,"Off")=6,"No OPD days set",IF((M107&lt;&gt;"Off")*(INDEX(Departments!$D$2:$D$13,$W107)="Closed")+(N107&lt;&gt;"Off")*(INDEX(Departments!$E$2:$E$13,$W107)="Closed")+(O107&lt;&gt;"Off")*(INDEX(Departments!$F$2:$F$13,$W107)="Closed")+(P107&lt;&gt;"Off")*(INDEX(Departments!$G$2:$G$13,$W107)="Closed")+(Q107&lt;&gt;"Off")*(INDEX(Departments!$H$2:$H$13,$W107)="Closed")+(R107&lt;&gt;"Off")*(INDEX(Departments!$I$2:$I$13,$W107)="Closed")&gt;0,"Note: works on a closed OPD day","OK"))))))</f>
        <v/>
      </c>
      <c r="U107" s="20">
        <f>C107&amp;"|"&amp;E107</f>
        <v/>
      </c>
      <c r="V107" s="20">
        <f>IF(A107="","",IFERROR(VALUE(MID(A107,4,4)),0))</f>
        <v/>
      </c>
      <c r="W107" s="20">
        <f>IFERROR(MATCH(C107,Departments!$B$2:$B$13,0),"")</f>
        <v/>
      </c>
    </row>
    <row r="108">
      <c r="A108" s="14" t="n"/>
      <c r="B108" s="14" t="n"/>
      <c r="C108" s="14" t="n"/>
      <c r="D108" s="14" t="n"/>
      <c r="E108" s="14" t="n"/>
      <c r="F108" s="14" t="n"/>
      <c r="G108" s="15" t="n"/>
      <c r="H108" s="16" t="n"/>
      <c r="I108" s="17" t="n"/>
      <c r="J108" s="14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8">
        <f>IF(A108="","",COUNTIF(M108:R108,"Full")*2+COUNTIF(M108:R108,"AM")+COUNTIF(M108:R108,"PM"))</f>
        <v/>
      </c>
      <c r="T108" s="19">
        <f>IF(A108="","",IF(COUNTIF($A$2:$A$200,A108)&gt;1,"Duplicate Staff ID",IF(COUNTA(B108:I108)+COUNTA(K108:L108)&lt;10,"Fill in all details",IF($W108="","Pick a department",IF(COUNTIF(M108:R108,"Off")=6,"No OPD days set",IF((M108&lt;&gt;"Off")*(INDEX(Departments!$D$2:$D$13,$W108)="Closed")+(N108&lt;&gt;"Off")*(INDEX(Departments!$E$2:$E$13,$W108)="Closed")+(O108&lt;&gt;"Off")*(INDEX(Departments!$F$2:$F$13,$W108)="Closed")+(P108&lt;&gt;"Off")*(INDEX(Departments!$G$2:$G$13,$W108)="Closed")+(Q108&lt;&gt;"Off")*(INDEX(Departments!$H$2:$H$13,$W108)="Closed")+(R108&lt;&gt;"Off")*(INDEX(Departments!$I$2:$I$13,$W108)="Closed")&gt;0,"Note: works on a closed OPD day","OK"))))))</f>
        <v/>
      </c>
      <c r="U108" s="20">
        <f>C108&amp;"|"&amp;E108</f>
        <v/>
      </c>
      <c r="V108" s="20">
        <f>IF(A108="","",IFERROR(VALUE(MID(A108,4,4)),0))</f>
        <v/>
      </c>
      <c r="W108" s="20">
        <f>IFERROR(MATCH(C108,Departments!$B$2:$B$13,0),"")</f>
        <v/>
      </c>
    </row>
    <row r="109">
      <c r="A109" s="14" t="n"/>
      <c r="B109" s="14" t="n"/>
      <c r="C109" s="14" t="n"/>
      <c r="D109" s="14" t="n"/>
      <c r="E109" s="14" t="n"/>
      <c r="F109" s="14" t="n"/>
      <c r="G109" s="15" t="n"/>
      <c r="H109" s="16" t="n"/>
      <c r="I109" s="17" t="n"/>
      <c r="J109" s="14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8">
        <f>IF(A109="","",COUNTIF(M109:R109,"Full")*2+COUNTIF(M109:R109,"AM")+COUNTIF(M109:R109,"PM"))</f>
        <v/>
      </c>
      <c r="T109" s="19">
        <f>IF(A109="","",IF(COUNTIF($A$2:$A$200,A109)&gt;1,"Duplicate Staff ID",IF(COUNTA(B109:I109)+COUNTA(K109:L109)&lt;10,"Fill in all details",IF($W109="","Pick a department",IF(COUNTIF(M109:R109,"Off")=6,"No OPD days set",IF((M109&lt;&gt;"Off")*(INDEX(Departments!$D$2:$D$13,$W109)="Closed")+(N109&lt;&gt;"Off")*(INDEX(Departments!$E$2:$E$13,$W109)="Closed")+(O109&lt;&gt;"Off")*(INDEX(Departments!$F$2:$F$13,$W109)="Closed")+(P109&lt;&gt;"Off")*(INDEX(Departments!$G$2:$G$13,$W109)="Closed")+(Q109&lt;&gt;"Off")*(INDEX(Departments!$H$2:$H$13,$W109)="Closed")+(R109&lt;&gt;"Off")*(INDEX(Departments!$I$2:$I$13,$W109)="Closed")&gt;0,"Note: works on a closed OPD day","OK"))))))</f>
        <v/>
      </c>
      <c r="U109" s="20">
        <f>C109&amp;"|"&amp;E109</f>
        <v/>
      </c>
      <c r="V109" s="20">
        <f>IF(A109="","",IFERROR(VALUE(MID(A109,4,4)),0))</f>
        <v/>
      </c>
      <c r="W109" s="20">
        <f>IFERROR(MATCH(C109,Departments!$B$2:$B$13,0),"")</f>
        <v/>
      </c>
    </row>
    <row r="110">
      <c r="A110" s="14" t="n"/>
      <c r="B110" s="14" t="n"/>
      <c r="C110" s="14" t="n"/>
      <c r="D110" s="14" t="n"/>
      <c r="E110" s="14" t="n"/>
      <c r="F110" s="14" t="n"/>
      <c r="G110" s="15" t="n"/>
      <c r="H110" s="16" t="n"/>
      <c r="I110" s="17" t="n"/>
      <c r="J110" s="14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8">
        <f>IF(A110="","",COUNTIF(M110:R110,"Full")*2+COUNTIF(M110:R110,"AM")+COUNTIF(M110:R110,"PM"))</f>
        <v/>
      </c>
      <c r="T110" s="19">
        <f>IF(A110="","",IF(COUNTIF($A$2:$A$200,A110)&gt;1,"Duplicate Staff ID",IF(COUNTA(B110:I110)+COUNTA(K110:L110)&lt;10,"Fill in all details",IF($W110="","Pick a department",IF(COUNTIF(M110:R110,"Off")=6,"No OPD days set",IF((M110&lt;&gt;"Off")*(INDEX(Departments!$D$2:$D$13,$W110)="Closed")+(N110&lt;&gt;"Off")*(INDEX(Departments!$E$2:$E$13,$W110)="Closed")+(O110&lt;&gt;"Off")*(INDEX(Departments!$F$2:$F$13,$W110)="Closed")+(P110&lt;&gt;"Off")*(INDEX(Departments!$G$2:$G$13,$W110)="Closed")+(Q110&lt;&gt;"Off")*(INDEX(Departments!$H$2:$H$13,$W110)="Closed")+(R110&lt;&gt;"Off")*(INDEX(Departments!$I$2:$I$13,$W110)="Closed")&gt;0,"Note: works on a closed OPD day","OK"))))))</f>
        <v/>
      </c>
      <c r="U110" s="20">
        <f>C110&amp;"|"&amp;E110</f>
        <v/>
      </c>
      <c r="V110" s="20">
        <f>IF(A110="","",IFERROR(VALUE(MID(A110,4,4)),0))</f>
        <v/>
      </c>
      <c r="W110" s="20">
        <f>IFERROR(MATCH(C110,Departments!$B$2:$B$13,0),"")</f>
        <v/>
      </c>
    </row>
    <row r="111">
      <c r="A111" s="14" t="n"/>
      <c r="B111" s="14" t="n"/>
      <c r="C111" s="14" t="n"/>
      <c r="D111" s="14" t="n"/>
      <c r="E111" s="14" t="n"/>
      <c r="F111" s="14" t="n"/>
      <c r="G111" s="15" t="n"/>
      <c r="H111" s="16" t="n"/>
      <c r="I111" s="17" t="n"/>
      <c r="J111" s="14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8">
        <f>IF(A111="","",COUNTIF(M111:R111,"Full")*2+COUNTIF(M111:R111,"AM")+COUNTIF(M111:R111,"PM"))</f>
        <v/>
      </c>
      <c r="T111" s="19">
        <f>IF(A111="","",IF(COUNTIF($A$2:$A$200,A111)&gt;1,"Duplicate Staff ID",IF(COUNTA(B111:I111)+COUNTA(K111:L111)&lt;10,"Fill in all details",IF($W111="","Pick a department",IF(COUNTIF(M111:R111,"Off")=6,"No OPD days set",IF((M111&lt;&gt;"Off")*(INDEX(Departments!$D$2:$D$13,$W111)="Closed")+(N111&lt;&gt;"Off")*(INDEX(Departments!$E$2:$E$13,$W111)="Closed")+(O111&lt;&gt;"Off")*(INDEX(Departments!$F$2:$F$13,$W111)="Closed")+(P111&lt;&gt;"Off")*(INDEX(Departments!$G$2:$G$13,$W111)="Closed")+(Q111&lt;&gt;"Off")*(INDEX(Departments!$H$2:$H$13,$W111)="Closed")+(R111&lt;&gt;"Off")*(INDEX(Departments!$I$2:$I$13,$W111)="Closed")&gt;0,"Note: works on a closed OPD day","OK"))))))</f>
        <v/>
      </c>
      <c r="U111" s="20">
        <f>C111&amp;"|"&amp;E111</f>
        <v/>
      </c>
      <c r="V111" s="20">
        <f>IF(A111="","",IFERROR(VALUE(MID(A111,4,4)),0))</f>
        <v/>
      </c>
      <c r="W111" s="20">
        <f>IFERROR(MATCH(C111,Departments!$B$2:$B$13,0),"")</f>
        <v/>
      </c>
    </row>
    <row r="112">
      <c r="A112" s="14" t="n"/>
      <c r="B112" s="14" t="n"/>
      <c r="C112" s="14" t="n"/>
      <c r="D112" s="14" t="n"/>
      <c r="E112" s="14" t="n"/>
      <c r="F112" s="14" t="n"/>
      <c r="G112" s="15" t="n"/>
      <c r="H112" s="16" t="n"/>
      <c r="I112" s="17" t="n"/>
      <c r="J112" s="14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8">
        <f>IF(A112="","",COUNTIF(M112:R112,"Full")*2+COUNTIF(M112:R112,"AM")+COUNTIF(M112:R112,"PM"))</f>
        <v/>
      </c>
      <c r="T112" s="19">
        <f>IF(A112="","",IF(COUNTIF($A$2:$A$200,A112)&gt;1,"Duplicate Staff ID",IF(COUNTA(B112:I112)+COUNTA(K112:L112)&lt;10,"Fill in all details",IF($W112="","Pick a department",IF(COUNTIF(M112:R112,"Off")=6,"No OPD days set",IF((M112&lt;&gt;"Off")*(INDEX(Departments!$D$2:$D$13,$W112)="Closed")+(N112&lt;&gt;"Off")*(INDEX(Departments!$E$2:$E$13,$W112)="Closed")+(O112&lt;&gt;"Off")*(INDEX(Departments!$F$2:$F$13,$W112)="Closed")+(P112&lt;&gt;"Off")*(INDEX(Departments!$G$2:$G$13,$W112)="Closed")+(Q112&lt;&gt;"Off")*(INDEX(Departments!$H$2:$H$13,$W112)="Closed")+(R112&lt;&gt;"Off")*(INDEX(Departments!$I$2:$I$13,$W112)="Closed")&gt;0,"Note: works on a closed OPD day","OK"))))))</f>
        <v/>
      </c>
      <c r="U112" s="20">
        <f>C112&amp;"|"&amp;E112</f>
        <v/>
      </c>
      <c r="V112" s="20">
        <f>IF(A112="","",IFERROR(VALUE(MID(A112,4,4)),0))</f>
        <v/>
      </c>
      <c r="W112" s="20">
        <f>IFERROR(MATCH(C112,Departments!$B$2:$B$13,0),"")</f>
        <v/>
      </c>
    </row>
    <row r="113">
      <c r="A113" s="14" t="n"/>
      <c r="B113" s="14" t="n"/>
      <c r="C113" s="14" t="n"/>
      <c r="D113" s="14" t="n"/>
      <c r="E113" s="14" t="n"/>
      <c r="F113" s="14" t="n"/>
      <c r="G113" s="15" t="n"/>
      <c r="H113" s="16" t="n"/>
      <c r="I113" s="17" t="n"/>
      <c r="J113" s="14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8">
        <f>IF(A113="","",COUNTIF(M113:R113,"Full")*2+COUNTIF(M113:R113,"AM")+COUNTIF(M113:R113,"PM"))</f>
        <v/>
      </c>
      <c r="T113" s="19">
        <f>IF(A113="","",IF(COUNTIF($A$2:$A$200,A113)&gt;1,"Duplicate Staff ID",IF(COUNTA(B113:I113)+COUNTA(K113:L113)&lt;10,"Fill in all details",IF($W113="","Pick a department",IF(COUNTIF(M113:R113,"Off")=6,"No OPD days set",IF((M113&lt;&gt;"Off")*(INDEX(Departments!$D$2:$D$13,$W113)="Closed")+(N113&lt;&gt;"Off")*(INDEX(Departments!$E$2:$E$13,$W113)="Closed")+(O113&lt;&gt;"Off")*(INDEX(Departments!$F$2:$F$13,$W113)="Closed")+(P113&lt;&gt;"Off")*(INDEX(Departments!$G$2:$G$13,$W113)="Closed")+(Q113&lt;&gt;"Off")*(INDEX(Departments!$H$2:$H$13,$W113)="Closed")+(R113&lt;&gt;"Off")*(INDEX(Departments!$I$2:$I$13,$W113)="Closed")&gt;0,"Note: works on a closed OPD day","OK"))))))</f>
        <v/>
      </c>
      <c r="U113" s="20">
        <f>C113&amp;"|"&amp;E113</f>
        <v/>
      </c>
      <c r="V113" s="20">
        <f>IF(A113="","",IFERROR(VALUE(MID(A113,4,4)),0))</f>
        <v/>
      </c>
      <c r="W113" s="20">
        <f>IFERROR(MATCH(C113,Departments!$B$2:$B$13,0),"")</f>
        <v/>
      </c>
    </row>
    <row r="114">
      <c r="A114" s="14" t="n"/>
      <c r="B114" s="14" t="n"/>
      <c r="C114" s="14" t="n"/>
      <c r="D114" s="14" t="n"/>
      <c r="E114" s="14" t="n"/>
      <c r="F114" s="14" t="n"/>
      <c r="G114" s="15" t="n"/>
      <c r="H114" s="16" t="n"/>
      <c r="I114" s="17" t="n"/>
      <c r="J114" s="14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8">
        <f>IF(A114="","",COUNTIF(M114:R114,"Full")*2+COUNTIF(M114:R114,"AM")+COUNTIF(M114:R114,"PM"))</f>
        <v/>
      </c>
      <c r="T114" s="19">
        <f>IF(A114="","",IF(COUNTIF($A$2:$A$200,A114)&gt;1,"Duplicate Staff ID",IF(COUNTA(B114:I114)+COUNTA(K114:L114)&lt;10,"Fill in all details",IF($W114="","Pick a department",IF(COUNTIF(M114:R114,"Off")=6,"No OPD days set",IF((M114&lt;&gt;"Off")*(INDEX(Departments!$D$2:$D$13,$W114)="Closed")+(N114&lt;&gt;"Off")*(INDEX(Departments!$E$2:$E$13,$W114)="Closed")+(O114&lt;&gt;"Off")*(INDEX(Departments!$F$2:$F$13,$W114)="Closed")+(P114&lt;&gt;"Off")*(INDEX(Departments!$G$2:$G$13,$W114)="Closed")+(Q114&lt;&gt;"Off")*(INDEX(Departments!$H$2:$H$13,$W114)="Closed")+(R114&lt;&gt;"Off")*(INDEX(Departments!$I$2:$I$13,$W114)="Closed")&gt;0,"Note: works on a closed OPD day","OK"))))))</f>
        <v/>
      </c>
      <c r="U114" s="20">
        <f>C114&amp;"|"&amp;E114</f>
        <v/>
      </c>
      <c r="V114" s="20">
        <f>IF(A114="","",IFERROR(VALUE(MID(A114,4,4)),0))</f>
        <v/>
      </c>
      <c r="W114" s="20">
        <f>IFERROR(MATCH(C114,Departments!$B$2:$B$13,0),"")</f>
        <v/>
      </c>
    </row>
    <row r="115">
      <c r="A115" s="14" t="n"/>
      <c r="B115" s="14" t="n"/>
      <c r="C115" s="14" t="n"/>
      <c r="D115" s="14" t="n"/>
      <c r="E115" s="14" t="n"/>
      <c r="F115" s="14" t="n"/>
      <c r="G115" s="15" t="n"/>
      <c r="H115" s="16" t="n"/>
      <c r="I115" s="17" t="n"/>
      <c r="J115" s="14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8">
        <f>IF(A115="","",COUNTIF(M115:R115,"Full")*2+COUNTIF(M115:R115,"AM")+COUNTIF(M115:R115,"PM"))</f>
        <v/>
      </c>
      <c r="T115" s="19">
        <f>IF(A115="","",IF(COUNTIF($A$2:$A$200,A115)&gt;1,"Duplicate Staff ID",IF(COUNTA(B115:I115)+COUNTA(K115:L115)&lt;10,"Fill in all details",IF($W115="","Pick a department",IF(COUNTIF(M115:R115,"Off")=6,"No OPD days set",IF((M115&lt;&gt;"Off")*(INDEX(Departments!$D$2:$D$13,$W115)="Closed")+(N115&lt;&gt;"Off")*(INDEX(Departments!$E$2:$E$13,$W115)="Closed")+(O115&lt;&gt;"Off")*(INDEX(Departments!$F$2:$F$13,$W115)="Closed")+(P115&lt;&gt;"Off")*(INDEX(Departments!$G$2:$G$13,$W115)="Closed")+(Q115&lt;&gt;"Off")*(INDEX(Departments!$H$2:$H$13,$W115)="Closed")+(R115&lt;&gt;"Off")*(INDEX(Departments!$I$2:$I$13,$W115)="Closed")&gt;0,"Note: works on a closed OPD day","OK"))))))</f>
        <v/>
      </c>
      <c r="U115" s="20">
        <f>C115&amp;"|"&amp;E115</f>
        <v/>
      </c>
      <c r="V115" s="20">
        <f>IF(A115="","",IFERROR(VALUE(MID(A115,4,4)),0))</f>
        <v/>
      </c>
      <c r="W115" s="20">
        <f>IFERROR(MATCH(C115,Departments!$B$2:$B$13,0),"")</f>
        <v/>
      </c>
    </row>
    <row r="116">
      <c r="A116" s="14" t="n"/>
      <c r="B116" s="14" t="n"/>
      <c r="C116" s="14" t="n"/>
      <c r="D116" s="14" t="n"/>
      <c r="E116" s="14" t="n"/>
      <c r="F116" s="14" t="n"/>
      <c r="G116" s="15" t="n"/>
      <c r="H116" s="16" t="n"/>
      <c r="I116" s="17" t="n"/>
      <c r="J116" s="14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8">
        <f>IF(A116="","",COUNTIF(M116:R116,"Full")*2+COUNTIF(M116:R116,"AM")+COUNTIF(M116:R116,"PM"))</f>
        <v/>
      </c>
      <c r="T116" s="19">
        <f>IF(A116="","",IF(COUNTIF($A$2:$A$200,A116)&gt;1,"Duplicate Staff ID",IF(COUNTA(B116:I116)+COUNTA(K116:L116)&lt;10,"Fill in all details",IF($W116="","Pick a department",IF(COUNTIF(M116:R116,"Off")=6,"No OPD days set",IF((M116&lt;&gt;"Off")*(INDEX(Departments!$D$2:$D$13,$W116)="Closed")+(N116&lt;&gt;"Off")*(INDEX(Departments!$E$2:$E$13,$W116)="Closed")+(O116&lt;&gt;"Off")*(INDEX(Departments!$F$2:$F$13,$W116)="Closed")+(P116&lt;&gt;"Off")*(INDEX(Departments!$G$2:$G$13,$W116)="Closed")+(Q116&lt;&gt;"Off")*(INDEX(Departments!$H$2:$H$13,$W116)="Closed")+(R116&lt;&gt;"Off")*(INDEX(Departments!$I$2:$I$13,$W116)="Closed")&gt;0,"Note: works on a closed OPD day","OK"))))))</f>
        <v/>
      </c>
      <c r="U116" s="20">
        <f>C116&amp;"|"&amp;E116</f>
        <v/>
      </c>
      <c r="V116" s="20">
        <f>IF(A116="","",IFERROR(VALUE(MID(A116,4,4)),0))</f>
        <v/>
      </c>
      <c r="W116" s="20">
        <f>IFERROR(MATCH(C116,Departments!$B$2:$B$13,0),"")</f>
        <v/>
      </c>
    </row>
    <row r="117">
      <c r="A117" s="14" t="n"/>
      <c r="B117" s="14" t="n"/>
      <c r="C117" s="14" t="n"/>
      <c r="D117" s="14" t="n"/>
      <c r="E117" s="14" t="n"/>
      <c r="F117" s="14" t="n"/>
      <c r="G117" s="15" t="n"/>
      <c r="H117" s="16" t="n"/>
      <c r="I117" s="17" t="n"/>
      <c r="J117" s="14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8">
        <f>IF(A117="","",COUNTIF(M117:R117,"Full")*2+COUNTIF(M117:R117,"AM")+COUNTIF(M117:R117,"PM"))</f>
        <v/>
      </c>
      <c r="T117" s="19">
        <f>IF(A117="","",IF(COUNTIF($A$2:$A$200,A117)&gt;1,"Duplicate Staff ID",IF(COUNTA(B117:I117)+COUNTA(K117:L117)&lt;10,"Fill in all details",IF($W117="","Pick a department",IF(COUNTIF(M117:R117,"Off")=6,"No OPD days set",IF((M117&lt;&gt;"Off")*(INDEX(Departments!$D$2:$D$13,$W117)="Closed")+(N117&lt;&gt;"Off")*(INDEX(Departments!$E$2:$E$13,$W117)="Closed")+(O117&lt;&gt;"Off")*(INDEX(Departments!$F$2:$F$13,$W117)="Closed")+(P117&lt;&gt;"Off")*(INDEX(Departments!$G$2:$G$13,$W117)="Closed")+(Q117&lt;&gt;"Off")*(INDEX(Departments!$H$2:$H$13,$W117)="Closed")+(R117&lt;&gt;"Off")*(INDEX(Departments!$I$2:$I$13,$W117)="Closed")&gt;0,"Note: works on a closed OPD day","OK"))))))</f>
        <v/>
      </c>
      <c r="U117" s="20">
        <f>C117&amp;"|"&amp;E117</f>
        <v/>
      </c>
      <c r="V117" s="20">
        <f>IF(A117="","",IFERROR(VALUE(MID(A117,4,4)),0))</f>
        <v/>
      </c>
      <c r="W117" s="20">
        <f>IFERROR(MATCH(C117,Departments!$B$2:$B$13,0),"")</f>
        <v/>
      </c>
    </row>
    <row r="118">
      <c r="A118" s="14" t="n"/>
      <c r="B118" s="14" t="n"/>
      <c r="C118" s="14" t="n"/>
      <c r="D118" s="14" t="n"/>
      <c r="E118" s="14" t="n"/>
      <c r="F118" s="14" t="n"/>
      <c r="G118" s="15" t="n"/>
      <c r="H118" s="16" t="n"/>
      <c r="I118" s="17" t="n"/>
      <c r="J118" s="14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8">
        <f>IF(A118="","",COUNTIF(M118:R118,"Full")*2+COUNTIF(M118:R118,"AM")+COUNTIF(M118:R118,"PM"))</f>
        <v/>
      </c>
      <c r="T118" s="19">
        <f>IF(A118="","",IF(COUNTIF($A$2:$A$200,A118)&gt;1,"Duplicate Staff ID",IF(COUNTA(B118:I118)+COUNTA(K118:L118)&lt;10,"Fill in all details",IF($W118="","Pick a department",IF(COUNTIF(M118:R118,"Off")=6,"No OPD days set",IF((M118&lt;&gt;"Off")*(INDEX(Departments!$D$2:$D$13,$W118)="Closed")+(N118&lt;&gt;"Off")*(INDEX(Departments!$E$2:$E$13,$W118)="Closed")+(O118&lt;&gt;"Off")*(INDEX(Departments!$F$2:$F$13,$W118)="Closed")+(P118&lt;&gt;"Off")*(INDEX(Departments!$G$2:$G$13,$W118)="Closed")+(Q118&lt;&gt;"Off")*(INDEX(Departments!$H$2:$H$13,$W118)="Closed")+(R118&lt;&gt;"Off")*(INDEX(Departments!$I$2:$I$13,$W118)="Closed")&gt;0,"Note: works on a closed OPD day","OK"))))))</f>
        <v/>
      </c>
      <c r="U118" s="20">
        <f>C118&amp;"|"&amp;E118</f>
        <v/>
      </c>
      <c r="V118" s="20">
        <f>IF(A118="","",IFERROR(VALUE(MID(A118,4,4)),0))</f>
        <v/>
      </c>
      <c r="W118" s="20">
        <f>IFERROR(MATCH(C118,Departments!$B$2:$B$13,0),"")</f>
        <v/>
      </c>
    </row>
    <row r="119">
      <c r="A119" s="14" t="n"/>
      <c r="B119" s="14" t="n"/>
      <c r="C119" s="14" t="n"/>
      <c r="D119" s="14" t="n"/>
      <c r="E119" s="14" t="n"/>
      <c r="F119" s="14" t="n"/>
      <c r="G119" s="15" t="n"/>
      <c r="H119" s="16" t="n"/>
      <c r="I119" s="17" t="n"/>
      <c r="J119" s="14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8">
        <f>IF(A119="","",COUNTIF(M119:R119,"Full")*2+COUNTIF(M119:R119,"AM")+COUNTIF(M119:R119,"PM"))</f>
        <v/>
      </c>
      <c r="T119" s="19">
        <f>IF(A119="","",IF(COUNTIF($A$2:$A$200,A119)&gt;1,"Duplicate Staff ID",IF(COUNTA(B119:I119)+COUNTA(K119:L119)&lt;10,"Fill in all details",IF($W119="","Pick a department",IF(COUNTIF(M119:R119,"Off")=6,"No OPD days set",IF((M119&lt;&gt;"Off")*(INDEX(Departments!$D$2:$D$13,$W119)="Closed")+(N119&lt;&gt;"Off")*(INDEX(Departments!$E$2:$E$13,$W119)="Closed")+(O119&lt;&gt;"Off")*(INDEX(Departments!$F$2:$F$13,$W119)="Closed")+(P119&lt;&gt;"Off")*(INDEX(Departments!$G$2:$G$13,$W119)="Closed")+(Q119&lt;&gt;"Off")*(INDEX(Departments!$H$2:$H$13,$W119)="Closed")+(R119&lt;&gt;"Off")*(INDEX(Departments!$I$2:$I$13,$W119)="Closed")&gt;0,"Note: works on a closed OPD day","OK"))))))</f>
        <v/>
      </c>
      <c r="U119" s="20">
        <f>C119&amp;"|"&amp;E119</f>
        <v/>
      </c>
      <c r="V119" s="20">
        <f>IF(A119="","",IFERROR(VALUE(MID(A119,4,4)),0))</f>
        <v/>
      </c>
      <c r="W119" s="20">
        <f>IFERROR(MATCH(C119,Departments!$B$2:$B$13,0),"")</f>
        <v/>
      </c>
    </row>
    <row r="120">
      <c r="A120" s="14" t="n"/>
      <c r="B120" s="14" t="n"/>
      <c r="C120" s="14" t="n"/>
      <c r="D120" s="14" t="n"/>
      <c r="E120" s="14" t="n"/>
      <c r="F120" s="14" t="n"/>
      <c r="G120" s="15" t="n"/>
      <c r="H120" s="16" t="n"/>
      <c r="I120" s="17" t="n"/>
      <c r="J120" s="14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8">
        <f>IF(A120="","",COUNTIF(M120:R120,"Full")*2+COUNTIF(M120:R120,"AM")+COUNTIF(M120:R120,"PM"))</f>
        <v/>
      </c>
      <c r="T120" s="19">
        <f>IF(A120="","",IF(COUNTIF($A$2:$A$200,A120)&gt;1,"Duplicate Staff ID",IF(COUNTA(B120:I120)+COUNTA(K120:L120)&lt;10,"Fill in all details",IF($W120="","Pick a department",IF(COUNTIF(M120:R120,"Off")=6,"No OPD days set",IF((M120&lt;&gt;"Off")*(INDEX(Departments!$D$2:$D$13,$W120)="Closed")+(N120&lt;&gt;"Off")*(INDEX(Departments!$E$2:$E$13,$W120)="Closed")+(O120&lt;&gt;"Off")*(INDEX(Departments!$F$2:$F$13,$W120)="Closed")+(P120&lt;&gt;"Off")*(INDEX(Departments!$G$2:$G$13,$W120)="Closed")+(Q120&lt;&gt;"Off")*(INDEX(Departments!$H$2:$H$13,$W120)="Closed")+(R120&lt;&gt;"Off")*(INDEX(Departments!$I$2:$I$13,$W120)="Closed")&gt;0,"Note: works on a closed OPD day","OK"))))))</f>
        <v/>
      </c>
      <c r="U120" s="20">
        <f>C120&amp;"|"&amp;E120</f>
        <v/>
      </c>
      <c r="V120" s="20">
        <f>IF(A120="","",IFERROR(VALUE(MID(A120,4,4)),0))</f>
        <v/>
      </c>
      <c r="W120" s="20">
        <f>IFERROR(MATCH(C120,Departments!$B$2:$B$13,0),"")</f>
        <v/>
      </c>
    </row>
    <row r="121">
      <c r="A121" s="14" t="n"/>
      <c r="B121" s="14" t="n"/>
      <c r="C121" s="14" t="n"/>
      <c r="D121" s="14" t="n"/>
      <c r="E121" s="14" t="n"/>
      <c r="F121" s="14" t="n"/>
      <c r="G121" s="15" t="n"/>
      <c r="H121" s="16" t="n"/>
      <c r="I121" s="17" t="n"/>
      <c r="J121" s="14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8">
        <f>IF(A121="","",COUNTIF(M121:R121,"Full")*2+COUNTIF(M121:R121,"AM")+COUNTIF(M121:R121,"PM"))</f>
        <v/>
      </c>
      <c r="T121" s="19">
        <f>IF(A121="","",IF(COUNTIF($A$2:$A$200,A121)&gt;1,"Duplicate Staff ID",IF(COUNTA(B121:I121)+COUNTA(K121:L121)&lt;10,"Fill in all details",IF($W121="","Pick a department",IF(COUNTIF(M121:R121,"Off")=6,"No OPD days set",IF((M121&lt;&gt;"Off")*(INDEX(Departments!$D$2:$D$13,$W121)="Closed")+(N121&lt;&gt;"Off")*(INDEX(Departments!$E$2:$E$13,$W121)="Closed")+(O121&lt;&gt;"Off")*(INDEX(Departments!$F$2:$F$13,$W121)="Closed")+(P121&lt;&gt;"Off")*(INDEX(Departments!$G$2:$G$13,$W121)="Closed")+(Q121&lt;&gt;"Off")*(INDEX(Departments!$H$2:$H$13,$W121)="Closed")+(R121&lt;&gt;"Off")*(INDEX(Departments!$I$2:$I$13,$W121)="Closed")&gt;0,"Note: works on a closed OPD day","OK"))))))</f>
        <v/>
      </c>
      <c r="U121" s="20">
        <f>C121&amp;"|"&amp;E121</f>
        <v/>
      </c>
      <c r="V121" s="20">
        <f>IF(A121="","",IFERROR(VALUE(MID(A121,4,4)),0))</f>
        <v/>
      </c>
      <c r="W121" s="20">
        <f>IFERROR(MATCH(C121,Departments!$B$2:$B$13,0),"")</f>
        <v/>
      </c>
    </row>
    <row r="122">
      <c r="A122" s="14" t="n"/>
      <c r="B122" s="14" t="n"/>
      <c r="C122" s="14" t="n"/>
      <c r="D122" s="14" t="n"/>
      <c r="E122" s="14" t="n"/>
      <c r="F122" s="14" t="n"/>
      <c r="G122" s="15" t="n"/>
      <c r="H122" s="16" t="n"/>
      <c r="I122" s="17" t="n"/>
      <c r="J122" s="14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8">
        <f>IF(A122="","",COUNTIF(M122:R122,"Full")*2+COUNTIF(M122:R122,"AM")+COUNTIF(M122:R122,"PM"))</f>
        <v/>
      </c>
      <c r="T122" s="19">
        <f>IF(A122="","",IF(COUNTIF($A$2:$A$200,A122)&gt;1,"Duplicate Staff ID",IF(COUNTA(B122:I122)+COUNTA(K122:L122)&lt;10,"Fill in all details",IF($W122="","Pick a department",IF(COUNTIF(M122:R122,"Off")=6,"No OPD days set",IF((M122&lt;&gt;"Off")*(INDEX(Departments!$D$2:$D$13,$W122)="Closed")+(N122&lt;&gt;"Off")*(INDEX(Departments!$E$2:$E$13,$W122)="Closed")+(O122&lt;&gt;"Off")*(INDEX(Departments!$F$2:$F$13,$W122)="Closed")+(P122&lt;&gt;"Off")*(INDEX(Departments!$G$2:$G$13,$W122)="Closed")+(Q122&lt;&gt;"Off")*(INDEX(Departments!$H$2:$H$13,$W122)="Closed")+(R122&lt;&gt;"Off")*(INDEX(Departments!$I$2:$I$13,$W122)="Closed")&gt;0,"Note: works on a closed OPD day","OK"))))))</f>
        <v/>
      </c>
      <c r="U122" s="20">
        <f>C122&amp;"|"&amp;E122</f>
        <v/>
      </c>
      <c r="V122" s="20">
        <f>IF(A122="","",IFERROR(VALUE(MID(A122,4,4)),0))</f>
        <v/>
      </c>
      <c r="W122" s="20">
        <f>IFERROR(MATCH(C122,Departments!$B$2:$B$13,0),"")</f>
        <v/>
      </c>
    </row>
    <row r="123">
      <c r="A123" s="14" t="n"/>
      <c r="B123" s="14" t="n"/>
      <c r="C123" s="14" t="n"/>
      <c r="D123" s="14" t="n"/>
      <c r="E123" s="14" t="n"/>
      <c r="F123" s="14" t="n"/>
      <c r="G123" s="15" t="n"/>
      <c r="H123" s="16" t="n"/>
      <c r="I123" s="17" t="n"/>
      <c r="J123" s="14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8">
        <f>IF(A123="","",COUNTIF(M123:R123,"Full")*2+COUNTIF(M123:R123,"AM")+COUNTIF(M123:R123,"PM"))</f>
        <v/>
      </c>
      <c r="T123" s="19">
        <f>IF(A123="","",IF(COUNTIF($A$2:$A$200,A123)&gt;1,"Duplicate Staff ID",IF(COUNTA(B123:I123)+COUNTA(K123:L123)&lt;10,"Fill in all details",IF($W123="","Pick a department",IF(COUNTIF(M123:R123,"Off")=6,"No OPD days set",IF((M123&lt;&gt;"Off")*(INDEX(Departments!$D$2:$D$13,$W123)="Closed")+(N123&lt;&gt;"Off")*(INDEX(Departments!$E$2:$E$13,$W123)="Closed")+(O123&lt;&gt;"Off")*(INDEX(Departments!$F$2:$F$13,$W123)="Closed")+(P123&lt;&gt;"Off")*(INDEX(Departments!$G$2:$G$13,$W123)="Closed")+(Q123&lt;&gt;"Off")*(INDEX(Departments!$H$2:$H$13,$W123)="Closed")+(R123&lt;&gt;"Off")*(INDEX(Departments!$I$2:$I$13,$W123)="Closed")&gt;0,"Note: works on a closed OPD day","OK"))))))</f>
        <v/>
      </c>
      <c r="U123" s="20">
        <f>C123&amp;"|"&amp;E123</f>
        <v/>
      </c>
      <c r="V123" s="20">
        <f>IF(A123="","",IFERROR(VALUE(MID(A123,4,4)),0))</f>
        <v/>
      </c>
      <c r="W123" s="20">
        <f>IFERROR(MATCH(C123,Departments!$B$2:$B$13,0),"")</f>
        <v/>
      </c>
    </row>
    <row r="124">
      <c r="A124" s="14" t="n"/>
      <c r="B124" s="14" t="n"/>
      <c r="C124" s="14" t="n"/>
      <c r="D124" s="14" t="n"/>
      <c r="E124" s="14" t="n"/>
      <c r="F124" s="14" t="n"/>
      <c r="G124" s="15" t="n"/>
      <c r="H124" s="16" t="n"/>
      <c r="I124" s="17" t="n"/>
      <c r="J124" s="14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8">
        <f>IF(A124="","",COUNTIF(M124:R124,"Full")*2+COUNTIF(M124:R124,"AM")+COUNTIF(M124:R124,"PM"))</f>
        <v/>
      </c>
      <c r="T124" s="19">
        <f>IF(A124="","",IF(COUNTIF($A$2:$A$200,A124)&gt;1,"Duplicate Staff ID",IF(COUNTA(B124:I124)+COUNTA(K124:L124)&lt;10,"Fill in all details",IF($W124="","Pick a department",IF(COUNTIF(M124:R124,"Off")=6,"No OPD days set",IF((M124&lt;&gt;"Off")*(INDEX(Departments!$D$2:$D$13,$W124)="Closed")+(N124&lt;&gt;"Off")*(INDEX(Departments!$E$2:$E$13,$W124)="Closed")+(O124&lt;&gt;"Off")*(INDEX(Departments!$F$2:$F$13,$W124)="Closed")+(P124&lt;&gt;"Off")*(INDEX(Departments!$G$2:$G$13,$W124)="Closed")+(Q124&lt;&gt;"Off")*(INDEX(Departments!$H$2:$H$13,$W124)="Closed")+(R124&lt;&gt;"Off")*(INDEX(Departments!$I$2:$I$13,$W124)="Closed")&gt;0,"Note: works on a closed OPD day","OK"))))))</f>
        <v/>
      </c>
      <c r="U124" s="20">
        <f>C124&amp;"|"&amp;E124</f>
        <v/>
      </c>
      <c r="V124" s="20">
        <f>IF(A124="","",IFERROR(VALUE(MID(A124,4,4)),0))</f>
        <v/>
      </c>
      <c r="W124" s="20">
        <f>IFERROR(MATCH(C124,Departments!$B$2:$B$13,0),"")</f>
        <v/>
      </c>
    </row>
    <row r="125">
      <c r="A125" s="14" t="n"/>
      <c r="B125" s="14" t="n"/>
      <c r="C125" s="14" t="n"/>
      <c r="D125" s="14" t="n"/>
      <c r="E125" s="14" t="n"/>
      <c r="F125" s="14" t="n"/>
      <c r="G125" s="15" t="n"/>
      <c r="H125" s="16" t="n"/>
      <c r="I125" s="17" t="n"/>
      <c r="J125" s="14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8">
        <f>IF(A125="","",COUNTIF(M125:R125,"Full")*2+COUNTIF(M125:R125,"AM")+COUNTIF(M125:R125,"PM"))</f>
        <v/>
      </c>
      <c r="T125" s="19">
        <f>IF(A125="","",IF(COUNTIF($A$2:$A$200,A125)&gt;1,"Duplicate Staff ID",IF(COUNTA(B125:I125)+COUNTA(K125:L125)&lt;10,"Fill in all details",IF($W125="","Pick a department",IF(COUNTIF(M125:R125,"Off")=6,"No OPD days set",IF((M125&lt;&gt;"Off")*(INDEX(Departments!$D$2:$D$13,$W125)="Closed")+(N125&lt;&gt;"Off")*(INDEX(Departments!$E$2:$E$13,$W125)="Closed")+(O125&lt;&gt;"Off")*(INDEX(Departments!$F$2:$F$13,$W125)="Closed")+(P125&lt;&gt;"Off")*(INDEX(Departments!$G$2:$G$13,$W125)="Closed")+(Q125&lt;&gt;"Off")*(INDEX(Departments!$H$2:$H$13,$W125)="Closed")+(R125&lt;&gt;"Off")*(INDEX(Departments!$I$2:$I$13,$W125)="Closed")&gt;0,"Note: works on a closed OPD day","OK"))))))</f>
        <v/>
      </c>
      <c r="U125" s="20">
        <f>C125&amp;"|"&amp;E125</f>
        <v/>
      </c>
      <c r="V125" s="20">
        <f>IF(A125="","",IFERROR(VALUE(MID(A125,4,4)),0))</f>
        <v/>
      </c>
      <c r="W125" s="20">
        <f>IFERROR(MATCH(C125,Departments!$B$2:$B$13,0),"")</f>
        <v/>
      </c>
    </row>
    <row r="126">
      <c r="A126" s="14" t="n"/>
      <c r="B126" s="14" t="n"/>
      <c r="C126" s="14" t="n"/>
      <c r="D126" s="14" t="n"/>
      <c r="E126" s="14" t="n"/>
      <c r="F126" s="14" t="n"/>
      <c r="G126" s="15" t="n"/>
      <c r="H126" s="16" t="n"/>
      <c r="I126" s="17" t="n"/>
      <c r="J126" s="14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8">
        <f>IF(A126="","",COUNTIF(M126:R126,"Full")*2+COUNTIF(M126:R126,"AM")+COUNTIF(M126:R126,"PM"))</f>
        <v/>
      </c>
      <c r="T126" s="19">
        <f>IF(A126="","",IF(COUNTIF($A$2:$A$200,A126)&gt;1,"Duplicate Staff ID",IF(COUNTA(B126:I126)+COUNTA(K126:L126)&lt;10,"Fill in all details",IF($W126="","Pick a department",IF(COUNTIF(M126:R126,"Off")=6,"No OPD days set",IF((M126&lt;&gt;"Off")*(INDEX(Departments!$D$2:$D$13,$W126)="Closed")+(N126&lt;&gt;"Off")*(INDEX(Departments!$E$2:$E$13,$W126)="Closed")+(O126&lt;&gt;"Off")*(INDEX(Departments!$F$2:$F$13,$W126)="Closed")+(P126&lt;&gt;"Off")*(INDEX(Departments!$G$2:$G$13,$W126)="Closed")+(Q126&lt;&gt;"Off")*(INDEX(Departments!$H$2:$H$13,$W126)="Closed")+(R126&lt;&gt;"Off")*(INDEX(Departments!$I$2:$I$13,$W126)="Closed")&gt;0,"Note: works on a closed OPD day","OK"))))))</f>
        <v/>
      </c>
      <c r="U126" s="20">
        <f>C126&amp;"|"&amp;E126</f>
        <v/>
      </c>
      <c r="V126" s="20">
        <f>IF(A126="","",IFERROR(VALUE(MID(A126,4,4)),0))</f>
        <v/>
      </c>
      <c r="W126" s="20">
        <f>IFERROR(MATCH(C126,Departments!$B$2:$B$13,0),"")</f>
        <v/>
      </c>
    </row>
    <row r="127">
      <c r="A127" s="14" t="n"/>
      <c r="B127" s="14" t="n"/>
      <c r="C127" s="14" t="n"/>
      <c r="D127" s="14" t="n"/>
      <c r="E127" s="14" t="n"/>
      <c r="F127" s="14" t="n"/>
      <c r="G127" s="15" t="n"/>
      <c r="H127" s="16" t="n"/>
      <c r="I127" s="17" t="n"/>
      <c r="J127" s="14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8">
        <f>IF(A127="","",COUNTIF(M127:R127,"Full")*2+COUNTIF(M127:R127,"AM")+COUNTIF(M127:R127,"PM"))</f>
        <v/>
      </c>
      <c r="T127" s="19">
        <f>IF(A127="","",IF(COUNTIF($A$2:$A$200,A127)&gt;1,"Duplicate Staff ID",IF(COUNTA(B127:I127)+COUNTA(K127:L127)&lt;10,"Fill in all details",IF($W127="","Pick a department",IF(COUNTIF(M127:R127,"Off")=6,"No OPD days set",IF((M127&lt;&gt;"Off")*(INDEX(Departments!$D$2:$D$13,$W127)="Closed")+(N127&lt;&gt;"Off")*(INDEX(Departments!$E$2:$E$13,$W127)="Closed")+(O127&lt;&gt;"Off")*(INDEX(Departments!$F$2:$F$13,$W127)="Closed")+(P127&lt;&gt;"Off")*(INDEX(Departments!$G$2:$G$13,$W127)="Closed")+(Q127&lt;&gt;"Off")*(INDEX(Departments!$H$2:$H$13,$W127)="Closed")+(R127&lt;&gt;"Off")*(INDEX(Departments!$I$2:$I$13,$W127)="Closed")&gt;0,"Note: works on a closed OPD day","OK"))))))</f>
        <v/>
      </c>
      <c r="U127" s="20">
        <f>C127&amp;"|"&amp;E127</f>
        <v/>
      </c>
      <c r="V127" s="20">
        <f>IF(A127="","",IFERROR(VALUE(MID(A127,4,4)),0))</f>
        <v/>
      </c>
      <c r="W127" s="20">
        <f>IFERROR(MATCH(C127,Departments!$B$2:$B$13,0),"")</f>
        <v/>
      </c>
    </row>
    <row r="128">
      <c r="A128" s="14" t="n"/>
      <c r="B128" s="14" t="n"/>
      <c r="C128" s="14" t="n"/>
      <c r="D128" s="14" t="n"/>
      <c r="E128" s="14" t="n"/>
      <c r="F128" s="14" t="n"/>
      <c r="G128" s="15" t="n"/>
      <c r="H128" s="16" t="n"/>
      <c r="I128" s="17" t="n"/>
      <c r="J128" s="14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8">
        <f>IF(A128="","",COUNTIF(M128:R128,"Full")*2+COUNTIF(M128:R128,"AM")+COUNTIF(M128:R128,"PM"))</f>
        <v/>
      </c>
      <c r="T128" s="19">
        <f>IF(A128="","",IF(COUNTIF($A$2:$A$200,A128)&gt;1,"Duplicate Staff ID",IF(COUNTA(B128:I128)+COUNTA(K128:L128)&lt;10,"Fill in all details",IF($W128="","Pick a department",IF(COUNTIF(M128:R128,"Off")=6,"No OPD days set",IF((M128&lt;&gt;"Off")*(INDEX(Departments!$D$2:$D$13,$W128)="Closed")+(N128&lt;&gt;"Off")*(INDEX(Departments!$E$2:$E$13,$W128)="Closed")+(O128&lt;&gt;"Off")*(INDEX(Departments!$F$2:$F$13,$W128)="Closed")+(P128&lt;&gt;"Off")*(INDEX(Departments!$G$2:$G$13,$W128)="Closed")+(Q128&lt;&gt;"Off")*(INDEX(Departments!$H$2:$H$13,$W128)="Closed")+(R128&lt;&gt;"Off")*(INDEX(Departments!$I$2:$I$13,$W128)="Closed")&gt;0,"Note: works on a closed OPD day","OK"))))))</f>
        <v/>
      </c>
      <c r="U128" s="20">
        <f>C128&amp;"|"&amp;E128</f>
        <v/>
      </c>
      <c r="V128" s="20">
        <f>IF(A128="","",IFERROR(VALUE(MID(A128,4,4)),0))</f>
        <v/>
      </c>
      <c r="W128" s="20">
        <f>IFERROR(MATCH(C128,Departments!$B$2:$B$13,0),"")</f>
        <v/>
      </c>
    </row>
    <row r="129">
      <c r="A129" s="14" t="n"/>
      <c r="B129" s="14" t="n"/>
      <c r="C129" s="14" t="n"/>
      <c r="D129" s="14" t="n"/>
      <c r="E129" s="14" t="n"/>
      <c r="F129" s="14" t="n"/>
      <c r="G129" s="15" t="n"/>
      <c r="H129" s="16" t="n"/>
      <c r="I129" s="17" t="n"/>
      <c r="J129" s="14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8">
        <f>IF(A129="","",COUNTIF(M129:R129,"Full")*2+COUNTIF(M129:R129,"AM")+COUNTIF(M129:R129,"PM"))</f>
        <v/>
      </c>
      <c r="T129" s="19">
        <f>IF(A129="","",IF(COUNTIF($A$2:$A$200,A129)&gt;1,"Duplicate Staff ID",IF(COUNTA(B129:I129)+COUNTA(K129:L129)&lt;10,"Fill in all details",IF($W129="","Pick a department",IF(COUNTIF(M129:R129,"Off")=6,"No OPD days set",IF((M129&lt;&gt;"Off")*(INDEX(Departments!$D$2:$D$13,$W129)="Closed")+(N129&lt;&gt;"Off")*(INDEX(Departments!$E$2:$E$13,$W129)="Closed")+(O129&lt;&gt;"Off")*(INDEX(Departments!$F$2:$F$13,$W129)="Closed")+(P129&lt;&gt;"Off")*(INDEX(Departments!$G$2:$G$13,$W129)="Closed")+(Q129&lt;&gt;"Off")*(INDEX(Departments!$H$2:$H$13,$W129)="Closed")+(R129&lt;&gt;"Off")*(INDEX(Departments!$I$2:$I$13,$W129)="Closed")&gt;0,"Note: works on a closed OPD day","OK"))))))</f>
        <v/>
      </c>
      <c r="U129" s="20">
        <f>C129&amp;"|"&amp;E129</f>
        <v/>
      </c>
      <c r="V129" s="20">
        <f>IF(A129="","",IFERROR(VALUE(MID(A129,4,4)),0))</f>
        <v/>
      </c>
      <c r="W129" s="20">
        <f>IFERROR(MATCH(C129,Departments!$B$2:$B$13,0),"")</f>
        <v/>
      </c>
    </row>
    <row r="130">
      <c r="A130" s="14" t="n"/>
      <c r="B130" s="14" t="n"/>
      <c r="C130" s="14" t="n"/>
      <c r="D130" s="14" t="n"/>
      <c r="E130" s="14" t="n"/>
      <c r="F130" s="14" t="n"/>
      <c r="G130" s="15" t="n"/>
      <c r="H130" s="16" t="n"/>
      <c r="I130" s="17" t="n"/>
      <c r="J130" s="14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8">
        <f>IF(A130="","",COUNTIF(M130:R130,"Full")*2+COUNTIF(M130:R130,"AM")+COUNTIF(M130:R130,"PM"))</f>
        <v/>
      </c>
      <c r="T130" s="19">
        <f>IF(A130="","",IF(COUNTIF($A$2:$A$200,A130)&gt;1,"Duplicate Staff ID",IF(COUNTA(B130:I130)+COUNTA(K130:L130)&lt;10,"Fill in all details",IF($W130="","Pick a department",IF(COUNTIF(M130:R130,"Off")=6,"No OPD days set",IF((M130&lt;&gt;"Off")*(INDEX(Departments!$D$2:$D$13,$W130)="Closed")+(N130&lt;&gt;"Off")*(INDEX(Departments!$E$2:$E$13,$W130)="Closed")+(O130&lt;&gt;"Off")*(INDEX(Departments!$F$2:$F$13,$W130)="Closed")+(P130&lt;&gt;"Off")*(INDEX(Departments!$G$2:$G$13,$W130)="Closed")+(Q130&lt;&gt;"Off")*(INDEX(Departments!$H$2:$H$13,$W130)="Closed")+(R130&lt;&gt;"Off")*(INDEX(Departments!$I$2:$I$13,$W130)="Closed")&gt;0,"Note: works on a closed OPD day","OK"))))))</f>
        <v/>
      </c>
      <c r="U130" s="20">
        <f>C130&amp;"|"&amp;E130</f>
        <v/>
      </c>
      <c r="V130" s="20">
        <f>IF(A130="","",IFERROR(VALUE(MID(A130,4,4)),0))</f>
        <v/>
      </c>
      <c r="W130" s="20">
        <f>IFERROR(MATCH(C130,Departments!$B$2:$B$13,0),"")</f>
        <v/>
      </c>
    </row>
    <row r="131">
      <c r="A131" s="14" t="n"/>
      <c r="B131" s="14" t="n"/>
      <c r="C131" s="14" t="n"/>
      <c r="D131" s="14" t="n"/>
      <c r="E131" s="14" t="n"/>
      <c r="F131" s="14" t="n"/>
      <c r="G131" s="15" t="n"/>
      <c r="H131" s="16" t="n"/>
      <c r="I131" s="17" t="n"/>
      <c r="J131" s="14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8">
        <f>IF(A131="","",COUNTIF(M131:R131,"Full")*2+COUNTIF(M131:R131,"AM")+COUNTIF(M131:R131,"PM"))</f>
        <v/>
      </c>
      <c r="T131" s="19">
        <f>IF(A131="","",IF(COUNTIF($A$2:$A$200,A131)&gt;1,"Duplicate Staff ID",IF(COUNTA(B131:I131)+COUNTA(K131:L131)&lt;10,"Fill in all details",IF($W131="","Pick a department",IF(COUNTIF(M131:R131,"Off")=6,"No OPD days set",IF((M131&lt;&gt;"Off")*(INDEX(Departments!$D$2:$D$13,$W131)="Closed")+(N131&lt;&gt;"Off")*(INDEX(Departments!$E$2:$E$13,$W131)="Closed")+(O131&lt;&gt;"Off")*(INDEX(Departments!$F$2:$F$13,$W131)="Closed")+(P131&lt;&gt;"Off")*(INDEX(Departments!$G$2:$G$13,$W131)="Closed")+(Q131&lt;&gt;"Off")*(INDEX(Departments!$H$2:$H$13,$W131)="Closed")+(R131&lt;&gt;"Off")*(INDEX(Departments!$I$2:$I$13,$W131)="Closed")&gt;0,"Note: works on a closed OPD day","OK"))))))</f>
        <v/>
      </c>
      <c r="U131" s="20">
        <f>C131&amp;"|"&amp;E131</f>
        <v/>
      </c>
      <c r="V131" s="20">
        <f>IF(A131="","",IFERROR(VALUE(MID(A131,4,4)),0))</f>
        <v/>
      </c>
      <c r="W131" s="20">
        <f>IFERROR(MATCH(C131,Departments!$B$2:$B$13,0),"")</f>
        <v/>
      </c>
    </row>
    <row r="132">
      <c r="A132" s="14" t="n"/>
      <c r="B132" s="14" t="n"/>
      <c r="C132" s="14" t="n"/>
      <c r="D132" s="14" t="n"/>
      <c r="E132" s="14" t="n"/>
      <c r="F132" s="14" t="n"/>
      <c r="G132" s="15" t="n"/>
      <c r="H132" s="16" t="n"/>
      <c r="I132" s="17" t="n"/>
      <c r="J132" s="14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8">
        <f>IF(A132="","",COUNTIF(M132:R132,"Full")*2+COUNTIF(M132:R132,"AM")+COUNTIF(M132:R132,"PM"))</f>
        <v/>
      </c>
      <c r="T132" s="19">
        <f>IF(A132="","",IF(COUNTIF($A$2:$A$200,A132)&gt;1,"Duplicate Staff ID",IF(COUNTA(B132:I132)+COUNTA(K132:L132)&lt;10,"Fill in all details",IF($W132="","Pick a department",IF(COUNTIF(M132:R132,"Off")=6,"No OPD days set",IF((M132&lt;&gt;"Off")*(INDEX(Departments!$D$2:$D$13,$W132)="Closed")+(N132&lt;&gt;"Off")*(INDEX(Departments!$E$2:$E$13,$W132)="Closed")+(O132&lt;&gt;"Off")*(INDEX(Departments!$F$2:$F$13,$W132)="Closed")+(P132&lt;&gt;"Off")*(INDEX(Departments!$G$2:$G$13,$W132)="Closed")+(Q132&lt;&gt;"Off")*(INDEX(Departments!$H$2:$H$13,$W132)="Closed")+(R132&lt;&gt;"Off")*(INDEX(Departments!$I$2:$I$13,$W132)="Closed")&gt;0,"Note: works on a closed OPD day","OK"))))))</f>
        <v/>
      </c>
      <c r="U132" s="20">
        <f>C132&amp;"|"&amp;E132</f>
        <v/>
      </c>
      <c r="V132" s="20">
        <f>IF(A132="","",IFERROR(VALUE(MID(A132,4,4)),0))</f>
        <v/>
      </c>
      <c r="W132" s="20">
        <f>IFERROR(MATCH(C132,Departments!$B$2:$B$13,0),"")</f>
        <v/>
      </c>
    </row>
    <row r="133">
      <c r="A133" s="14" t="n"/>
      <c r="B133" s="14" t="n"/>
      <c r="C133" s="14" t="n"/>
      <c r="D133" s="14" t="n"/>
      <c r="E133" s="14" t="n"/>
      <c r="F133" s="14" t="n"/>
      <c r="G133" s="15" t="n"/>
      <c r="H133" s="16" t="n"/>
      <c r="I133" s="17" t="n"/>
      <c r="J133" s="14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8">
        <f>IF(A133="","",COUNTIF(M133:R133,"Full")*2+COUNTIF(M133:R133,"AM")+COUNTIF(M133:R133,"PM"))</f>
        <v/>
      </c>
      <c r="T133" s="19">
        <f>IF(A133="","",IF(COUNTIF($A$2:$A$200,A133)&gt;1,"Duplicate Staff ID",IF(COUNTA(B133:I133)+COUNTA(K133:L133)&lt;10,"Fill in all details",IF($W133="","Pick a department",IF(COUNTIF(M133:R133,"Off")=6,"No OPD days set",IF((M133&lt;&gt;"Off")*(INDEX(Departments!$D$2:$D$13,$W133)="Closed")+(N133&lt;&gt;"Off")*(INDEX(Departments!$E$2:$E$13,$W133)="Closed")+(O133&lt;&gt;"Off")*(INDEX(Departments!$F$2:$F$13,$W133)="Closed")+(P133&lt;&gt;"Off")*(INDEX(Departments!$G$2:$G$13,$W133)="Closed")+(Q133&lt;&gt;"Off")*(INDEX(Departments!$H$2:$H$13,$W133)="Closed")+(R133&lt;&gt;"Off")*(INDEX(Departments!$I$2:$I$13,$W133)="Closed")&gt;0,"Note: works on a closed OPD day","OK"))))))</f>
        <v/>
      </c>
      <c r="U133" s="20">
        <f>C133&amp;"|"&amp;E133</f>
        <v/>
      </c>
      <c r="V133" s="20">
        <f>IF(A133="","",IFERROR(VALUE(MID(A133,4,4)),0))</f>
        <v/>
      </c>
      <c r="W133" s="20">
        <f>IFERROR(MATCH(C133,Departments!$B$2:$B$13,0),"")</f>
        <v/>
      </c>
    </row>
    <row r="134">
      <c r="A134" s="14" t="n"/>
      <c r="B134" s="14" t="n"/>
      <c r="C134" s="14" t="n"/>
      <c r="D134" s="14" t="n"/>
      <c r="E134" s="14" t="n"/>
      <c r="F134" s="14" t="n"/>
      <c r="G134" s="15" t="n"/>
      <c r="H134" s="16" t="n"/>
      <c r="I134" s="17" t="n"/>
      <c r="J134" s="14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8">
        <f>IF(A134="","",COUNTIF(M134:R134,"Full")*2+COUNTIF(M134:R134,"AM")+COUNTIF(M134:R134,"PM"))</f>
        <v/>
      </c>
      <c r="T134" s="19">
        <f>IF(A134="","",IF(COUNTIF($A$2:$A$200,A134)&gt;1,"Duplicate Staff ID",IF(COUNTA(B134:I134)+COUNTA(K134:L134)&lt;10,"Fill in all details",IF($W134="","Pick a department",IF(COUNTIF(M134:R134,"Off")=6,"No OPD days set",IF((M134&lt;&gt;"Off")*(INDEX(Departments!$D$2:$D$13,$W134)="Closed")+(N134&lt;&gt;"Off")*(INDEX(Departments!$E$2:$E$13,$W134)="Closed")+(O134&lt;&gt;"Off")*(INDEX(Departments!$F$2:$F$13,$W134)="Closed")+(P134&lt;&gt;"Off")*(INDEX(Departments!$G$2:$G$13,$W134)="Closed")+(Q134&lt;&gt;"Off")*(INDEX(Departments!$H$2:$H$13,$W134)="Closed")+(R134&lt;&gt;"Off")*(INDEX(Departments!$I$2:$I$13,$W134)="Closed")&gt;0,"Note: works on a closed OPD day","OK"))))))</f>
        <v/>
      </c>
      <c r="U134" s="20">
        <f>C134&amp;"|"&amp;E134</f>
        <v/>
      </c>
      <c r="V134" s="20">
        <f>IF(A134="","",IFERROR(VALUE(MID(A134,4,4)),0))</f>
        <v/>
      </c>
      <c r="W134" s="20">
        <f>IFERROR(MATCH(C134,Departments!$B$2:$B$13,0),"")</f>
        <v/>
      </c>
    </row>
    <row r="135">
      <c r="A135" s="14" t="n"/>
      <c r="B135" s="14" t="n"/>
      <c r="C135" s="14" t="n"/>
      <c r="D135" s="14" t="n"/>
      <c r="E135" s="14" t="n"/>
      <c r="F135" s="14" t="n"/>
      <c r="G135" s="15" t="n"/>
      <c r="H135" s="16" t="n"/>
      <c r="I135" s="17" t="n"/>
      <c r="J135" s="14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8">
        <f>IF(A135="","",COUNTIF(M135:R135,"Full")*2+COUNTIF(M135:R135,"AM")+COUNTIF(M135:R135,"PM"))</f>
        <v/>
      </c>
      <c r="T135" s="19">
        <f>IF(A135="","",IF(COUNTIF($A$2:$A$200,A135)&gt;1,"Duplicate Staff ID",IF(COUNTA(B135:I135)+COUNTA(K135:L135)&lt;10,"Fill in all details",IF($W135="","Pick a department",IF(COUNTIF(M135:R135,"Off")=6,"No OPD days set",IF((M135&lt;&gt;"Off")*(INDEX(Departments!$D$2:$D$13,$W135)="Closed")+(N135&lt;&gt;"Off")*(INDEX(Departments!$E$2:$E$13,$W135)="Closed")+(O135&lt;&gt;"Off")*(INDEX(Departments!$F$2:$F$13,$W135)="Closed")+(P135&lt;&gt;"Off")*(INDEX(Departments!$G$2:$G$13,$W135)="Closed")+(Q135&lt;&gt;"Off")*(INDEX(Departments!$H$2:$H$13,$W135)="Closed")+(R135&lt;&gt;"Off")*(INDEX(Departments!$I$2:$I$13,$W135)="Closed")&gt;0,"Note: works on a closed OPD day","OK"))))))</f>
        <v/>
      </c>
      <c r="U135" s="20">
        <f>C135&amp;"|"&amp;E135</f>
        <v/>
      </c>
      <c r="V135" s="20">
        <f>IF(A135="","",IFERROR(VALUE(MID(A135,4,4)),0))</f>
        <v/>
      </c>
      <c r="W135" s="20">
        <f>IFERROR(MATCH(C135,Departments!$B$2:$B$13,0),"")</f>
        <v/>
      </c>
    </row>
    <row r="136">
      <c r="A136" s="14" t="n"/>
      <c r="B136" s="14" t="n"/>
      <c r="C136" s="14" t="n"/>
      <c r="D136" s="14" t="n"/>
      <c r="E136" s="14" t="n"/>
      <c r="F136" s="14" t="n"/>
      <c r="G136" s="15" t="n"/>
      <c r="H136" s="16" t="n"/>
      <c r="I136" s="17" t="n"/>
      <c r="J136" s="14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8">
        <f>IF(A136="","",COUNTIF(M136:R136,"Full")*2+COUNTIF(M136:R136,"AM")+COUNTIF(M136:R136,"PM"))</f>
        <v/>
      </c>
      <c r="T136" s="19">
        <f>IF(A136="","",IF(COUNTIF($A$2:$A$200,A136)&gt;1,"Duplicate Staff ID",IF(COUNTA(B136:I136)+COUNTA(K136:L136)&lt;10,"Fill in all details",IF($W136="","Pick a department",IF(COUNTIF(M136:R136,"Off")=6,"No OPD days set",IF((M136&lt;&gt;"Off")*(INDEX(Departments!$D$2:$D$13,$W136)="Closed")+(N136&lt;&gt;"Off")*(INDEX(Departments!$E$2:$E$13,$W136)="Closed")+(O136&lt;&gt;"Off")*(INDEX(Departments!$F$2:$F$13,$W136)="Closed")+(P136&lt;&gt;"Off")*(INDEX(Departments!$G$2:$G$13,$W136)="Closed")+(Q136&lt;&gt;"Off")*(INDEX(Departments!$H$2:$H$13,$W136)="Closed")+(R136&lt;&gt;"Off")*(INDEX(Departments!$I$2:$I$13,$W136)="Closed")&gt;0,"Note: works on a closed OPD day","OK"))))))</f>
        <v/>
      </c>
      <c r="U136" s="20">
        <f>C136&amp;"|"&amp;E136</f>
        <v/>
      </c>
      <c r="V136" s="20">
        <f>IF(A136="","",IFERROR(VALUE(MID(A136,4,4)),0))</f>
        <v/>
      </c>
      <c r="W136" s="20">
        <f>IFERROR(MATCH(C136,Departments!$B$2:$B$13,0),"")</f>
        <v/>
      </c>
    </row>
    <row r="137">
      <c r="A137" s="14" t="n"/>
      <c r="B137" s="14" t="n"/>
      <c r="C137" s="14" t="n"/>
      <c r="D137" s="14" t="n"/>
      <c r="E137" s="14" t="n"/>
      <c r="F137" s="14" t="n"/>
      <c r="G137" s="15" t="n"/>
      <c r="H137" s="16" t="n"/>
      <c r="I137" s="17" t="n"/>
      <c r="J137" s="14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8">
        <f>IF(A137="","",COUNTIF(M137:R137,"Full")*2+COUNTIF(M137:R137,"AM")+COUNTIF(M137:R137,"PM"))</f>
        <v/>
      </c>
      <c r="T137" s="19">
        <f>IF(A137="","",IF(COUNTIF($A$2:$A$200,A137)&gt;1,"Duplicate Staff ID",IF(COUNTA(B137:I137)+COUNTA(K137:L137)&lt;10,"Fill in all details",IF($W137="","Pick a department",IF(COUNTIF(M137:R137,"Off")=6,"No OPD days set",IF((M137&lt;&gt;"Off")*(INDEX(Departments!$D$2:$D$13,$W137)="Closed")+(N137&lt;&gt;"Off")*(INDEX(Departments!$E$2:$E$13,$W137)="Closed")+(O137&lt;&gt;"Off")*(INDEX(Departments!$F$2:$F$13,$W137)="Closed")+(P137&lt;&gt;"Off")*(INDEX(Departments!$G$2:$G$13,$W137)="Closed")+(Q137&lt;&gt;"Off")*(INDEX(Departments!$H$2:$H$13,$W137)="Closed")+(R137&lt;&gt;"Off")*(INDEX(Departments!$I$2:$I$13,$W137)="Closed")&gt;0,"Note: works on a closed OPD day","OK"))))))</f>
        <v/>
      </c>
      <c r="U137" s="20">
        <f>C137&amp;"|"&amp;E137</f>
        <v/>
      </c>
      <c r="V137" s="20">
        <f>IF(A137="","",IFERROR(VALUE(MID(A137,4,4)),0))</f>
        <v/>
      </c>
      <c r="W137" s="20">
        <f>IFERROR(MATCH(C137,Departments!$B$2:$B$13,0),"")</f>
        <v/>
      </c>
    </row>
    <row r="138">
      <c r="A138" s="14" t="n"/>
      <c r="B138" s="14" t="n"/>
      <c r="C138" s="14" t="n"/>
      <c r="D138" s="14" t="n"/>
      <c r="E138" s="14" t="n"/>
      <c r="F138" s="14" t="n"/>
      <c r="G138" s="15" t="n"/>
      <c r="H138" s="16" t="n"/>
      <c r="I138" s="17" t="n"/>
      <c r="J138" s="14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8">
        <f>IF(A138="","",COUNTIF(M138:R138,"Full")*2+COUNTIF(M138:R138,"AM")+COUNTIF(M138:R138,"PM"))</f>
        <v/>
      </c>
      <c r="T138" s="19">
        <f>IF(A138="","",IF(COUNTIF($A$2:$A$200,A138)&gt;1,"Duplicate Staff ID",IF(COUNTA(B138:I138)+COUNTA(K138:L138)&lt;10,"Fill in all details",IF($W138="","Pick a department",IF(COUNTIF(M138:R138,"Off")=6,"No OPD days set",IF((M138&lt;&gt;"Off")*(INDEX(Departments!$D$2:$D$13,$W138)="Closed")+(N138&lt;&gt;"Off")*(INDEX(Departments!$E$2:$E$13,$W138)="Closed")+(O138&lt;&gt;"Off")*(INDEX(Departments!$F$2:$F$13,$W138)="Closed")+(P138&lt;&gt;"Off")*(INDEX(Departments!$G$2:$G$13,$W138)="Closed")+(Q138&lt;&gt;"Off")*(INDEX(Departments!$H$2:$H$13,$W138)="Closed")+(R138&lt;&gt;"Off")*(INDEX(Departments!$I$2:$I$13,$W138)="Closed")&gt;0,"Note: works on a closed OPD day","OK"))))))</f>
        <v/>
      </c>
      <c r="U138" s="20">
        <f>C138&amp;"|"&amp;E138</f>
        <v/>
      </c>
      <c r="V138" s="20">
        <f>IF(A138="","",IFERROR(VALUE(MID(A138,4,4)),0))</f>
        <v/>
      </c>
      <c r="W138" s="20">
        <f>IFERROR(MATCH(C138,Departments!$B$2:$B$13,0),"")</f>
        <v/>
      </c>
    </row>
    <row r="139">
      <c r="A139" s="14" t="n"/>
      <c r="B139" s="14" t="n"/>
      <c r="C139" s="14" t="n"/>
      <c r="D139" s="14" t="n"/>
      <c r="E139" s="14" t="n"/>
      <c r="F139" s="14" t="n"/>
      <c r="G139" s="15" t="n"/>
      <c r="H139" s="16" t="n"/>
      <c r="I139" s="17" t="n"/>
      <c r="J139" s="14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8">
        <f>IF(A139="","",COUNTIF(M139:R139,"Full")*2+COUNTIF(M139:R139,"AM")+COUNTIF(M139:R139,"PM"))</f>
        <v/>
      </c>
      <c r="T139" s="19">
        <f>IF(A139="","",IF(COUNTIF($A$2:$A$200,A139)&gt;1,"Duplicate Staff ID",IF(COUNTA(B139:I139)+COUNTA(K139:L139)&lt;10,"Fill in all details",IF($W139="","Pick a department",IF(COUNTIF(M139:R139,"Off")=6,"No OPD days set",IF((M139&lt;&gt;"Off")*(INDEX(Departments!$D$2:$D$13,$W139)="Closed")+(N139&lt;&gt;"Off")*(INDEX(Departments!$E$2:$E$13,$W139)="Closed")+(O139&lt;&gt;"Off")*(INDEX(Departments!$F$2:$F$13,$W139)="Closed")+(P139&lt;&gt;"Off")*(INDEX(Departments!$G$2:$G$13,$W139)="Closed")+(Q139&lt;&gt;"Off")*(INDEX(Departments!$H$2:$H$13,$W139)="Closed")+(R139&lt;&gt;"Off")*(INDEX(Departments!$I$2:$I$13,$W139)="Closed")&gt;0,"Note: works on a closed OPD day","OK"))))))</f>
        <v/>
      </c>
      <c r="U139" s="20">
        <f>C139&amp;"|"&amp;E139</f>
        <v/>
      </c>
      <c r="V139" s="20">
        <f>IF(A139="","",IFERROR(VALUE(MID(A139,4,4)),0))</f>
        <v/>
      </c>
      <c r="W139" s="20">
        <f>IFERROR(MATCH(C139,Departments!$B$2:$B$13,0),"")</f>
        <v/>
      </c>
    </row>
    <row r="140">
      <c r="A140" s="14" t="n"/>
      <c r="B140" s="14" t="n"/>
      <c r="C140" s="14" t="n"/>
      <c r="D140" s="14" t="n"/>
      <c r="E140" s="14" t="n"/>
      <c r="F140" s="14" t="n"/>
      <c r="G140" s="15" t="n"/>
      <c r="H140" s="16" t="n"/>
      <c r="I140" s="17" t="n"/>
      <c r="J140" s="14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8">
        <f>IF(A140="","",COUNTIF(M140:R140,"Full")*2+COUNTIF(M140:R140,"AM")+COUNTIF(M140:R140,"PM"))</f>
        <v/>
      </c>
      <c r="T140" s="19">
        <f>IF(A140="","",IF(COUNTIF($A$2:$A$200,A140)&gt;1,"Duplicate Staff ID",IF(COUNTA(B140:I140)+COUNTA(K140:L140)&lt;10,"Fill in all details",IF($W140="","Pick a department",IF(COUNTIF(M140:R140,"Off")=6,"No OPD days set",IF((M140&lt;&gt;"Off")*(INDEX(Departments!$D$2:$D$13,$W140)="Closed")+(N140&lt;&gt;"Off")*(INDEX(Departments!$E$2:$E$13,$W140)="Closed")+(O140&lt;&gt;"Off")*(INDEX(Departments!$F$2:$F$13,$W140)="Closed")+(P140&lt;&gt;"Off")*(INDEX(Departments!$G$2:$G$13,$W140)="Closed")+(Q140&lt;&gt;"Off")*(INDEX(Departments!$H$2:$H$13,$W140)="Closed")+(R140&lt;&gt;"Off")*(INDEX(Departments!$I$2:$I$13,$W140)="Closed")&gt;0,"Note: works on a closed OPD day","OK"))))))</f>
        <v/>
      </c>
      <c r="U140" s="20">
        <f>C140&amp;"|"&amp;E140</f>
        <v/>
      </c>
      <c r="V140" s="20">
        <f>IF(A140="","",IFERROR(VALUE(MID(A140,4,4)),0))</f>
        <v/>
      </c>
      <c r="W140" s="20">
        <f>IFERROR(MATCH(C140,Departments!$B$2:$B$13,0),"")</f>
        <v/>
      </c>
    </row>
    <row r="141">
      <c r="A141" s="14" t="n"/>
      <c r="B141" s="14" t="n"/>
      <c r="C141" s="14" t="n"/>
      <c r="D141" s="14" t="n"/>
      <c r="E141" s="14" t="n"/>
      <c r="F141" s="14" t="n"/>
      <c r="G141" s="15" t="n"/>
      <c r="H141" s="16" t="n"/>
      <c r="I141" s="17" t="n"/>
      <c r="J141" s="14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8">
        <f>IF(A141="","",COUNTIF(M141:R141,"Full")*2+COUNTIF(M141:R141,"AM")+COUNTIF(M141:R141,"PM"))</f>
        <v/>
      </c>
      <c r="T141" s="19">
        <f>IF(A141="","",IF(COUNTIF($A$2:$A$200,A141)&gt;1,"Duplicate Staff ID",IF(COUNTA(B141:I141)+COUNTA(K141:L141)&lt;10,"Fill in all details",IF($W141="","Pick a department",IF(COUNTIF(M141:R141,"Off")=6,"No OPD days set",IF((M141&lt;&gt;"Off")*(INDEX(Departments!$D$2:$D$13,$W141)="Closed")+(N141&lt;&gt;"Off")*(INDEX(Departments!$E$2:$E$13,$W141)="Closed")+(O141&lt;&gt;"Off")*(INDEX(Departments!$F$2:$F$13,$W141)="Closed")+(P141&lt;&gt;"Off")*(INDEX(Departments!$G$2:$G$13,$W141)="Closed")+(Q141&lt;&gt;"Off")*(INDEX(Departments!$H$2:$H$13,$W141)="Closed")+(R141&lt;&gt;"Off")*(INDEX(Departments!$I$2:$I$13,$W141)="Closed")&gt;0,"Note: works on a closed OPD day","OK"))))))</f>
        <v/>
      </c>
      <c r="U141" s="20">
        <f>C141&amp;"|"&amp;E141</f>
        <v/>
      </c>
      <c r="V141" s="20">
        <f>IF(A141="","",IFERROR(VALUE(MID(A141,4,4)),0))</f>
        <v/>
      </c>
      <c r="W141" s="20">
        <f>IFERROR(MATCH(C141,Departments!$B$2:$B$13,0),"")</f>
        <v/>
      </c>
    </row>
    <row r="142">
      <c r="A142" s="14" t="n"/>
      <c r="B142" s="14" t="n"/>
      <c r="C142" s="14" t="n"/>
      <c r="D142" s="14" t="n"/>
      <c r="E142" s="14" t="n"/>
      <c r="F142" s="14" t="n"/>
      <c r="G142" s="15" t="n"/>
      <c r="H142" s="16" t="n"/>
      <c r="I142" s="17" t="n"/>
      <c r="J142" s="14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8">
        <f>IF(A142="","",COUNTIF(M142:R142,"Full")*2+COUNTIF(M142:R142,"AM")+COUNTIF(M142:R142,"PM"))</f>
        <v/>
      </c>
      <c r="T142" s="19">
        <f>IF(A142="","",IF(COUNTIF($A$2:$A$200,A142)&gt;1,"Duplicate Staff ID",IF(COUNTA(B142:I142)+COUNTA(K142:L142)&lt;10,"Fill in all details",IF($W142="","Pick a department",IF(COUNTIF(M142:R142,"Off")=6,"No OPD days set",IF((M142&lt;&gt;"Off")*(INDEX(Departments!$D$2:$D$13,$W142)="Closed")+(N142&lt;&gt;"Off")*(INDEX(Departments!$E$2:$E$13,$W142)="Closed")+(O142&lt;&gt;"Off")*(INDEX(Departments!$F$2:$F$13,$W142)="Closed")+(P142&lt;&gt;"Off")*(INDEX(Departments!$G$2:$G$13,$W142)="Closed")+(Q142&lt;&gt;"Off")*(INDEX(Departments!$H$2:$H$13,$W142)="Closed")+(R142&lt;&gt;"Off")*(INDEX(Departments!$I$2:$I$13,$W142)="Closed")&gt;0,"Note: works on a closed OPD day","OK"))))))</f>
        <v/>
      </c>
      <c r="U142" s="20">
        <f>C142&amp;"|"&amp;E142</f>
        <v/>
      </c>
      <c r="V142" s="20">
        <f>IF(A142="","",IFERROR(VALUE(MID(A142,4,4)),0))</f>
        <v/>
      </c>
      <c r="W142" s="20">
        <f>IFERROR(MATCH(C142,Departments!$B$2:$B$13,0),"")</f>
        <v/>
      </c>
    </row>
    <row r="143">
      <c r="A143" s="14" t="n"/>
      <c r="B143" s="14" t="n"/>
      <c r="C143" s="14" t="n"/>
      <c r="D143" s="14" t="n"/>
      <c r="E143" s="14" t="n"/>
      <c r="F143" s="14" t="n"/>
      <c r="G143" s="15" t="n"/>
      <c r="H143" s="16" t="n"/>
      <c r="I143" s="17" t="n"/>
      <c r="J143" s="14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8">
        <f>IF(A143="","",COUNTIF(M143:R143,"Full")*2+COUNTIF(M143:R143,"AM")+COUNTIF(M143:R143,"PM"))</f>
        <v/>
      </c>
      <c r="T143" s="19">
        <f>IF(A143="","",IF(COUNTIF($A$2:$A$200,A143)&gt;1,"Duplicate Staff ID",IF(COUNTA(B143:I143)+COUNTA(K143:L143)&lt;10,"Fill in all details",IF($W143="","Pick a department",IF(COUNTIF(M143:R143,"Off")=6,"No OPD days set",IF((M143&lt;&gt;"Off")*(INDEX(Departments!$D$2:$D$13,$W143)="Closed")+(N143&lt;&gt;"Off")*(INDEX(Departments!$E$2:$E$13,$W143)="Closed")+(O143&lt;&gt;"Off")*(INDEX(Departments!$F$2:$F$13,$W143)="Closed")+(P143&lt;&gt;"Off")*(INDEX(Departments!$G$2:$G$13,$W143)="Closed")+(Q143&lt;&gt;"Off")*(INDEX(Departments!$H$2:$H$13,$W143)="Closed")+(R143&lt;&gt;"Off")*(INDEX(Departments!$I$2:$I$13,$W143)="Closed")&gt;0,"Note: works on a closed OPD day","OK"))))))</f>
        <v/>
      </c>
      <c r="U143" s="20">
        <f>C143&amp;"|"&amp;E143</f>
        <v/>
      </c>
      <c r="V143" s="20">
        <f>IF(A143="","",IFERROR(VALUE(MID(A143,4,4)),0))</f>
        <v/>
      </c>
      <c r="W143" s="20">
        <f>IFERROR(MATCH(C143,Departments!$B$2:$B$13,0),"")</f>
        <v/>
      </c>
    </row>
    <row r="144">
      <c r="A144" s="14" t="n"/>
      <c r="B144" s="14" t="n"/>
      <c r="C144" s="14" t="n"/>
      <c r="D144" s="14" t="n"/>
      <c r="E144" s="14" t="n"/>
      <c r="F144" s="14" t="n"/>
      <c r="G144" s="15" t="n"/>
      <c r="H144" s="16" t="n"/>
      <c r="I144" s="17" t="n"/>
      <c r="J144" s="14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8">
        <f>IF(A144="","",COUNTIF(M144:R144,"Full")*2+COUNTIF(M144:R144,"AM")+COUNTIF(M144:R144,"PM"))</f>
        <v/>
      </c>
      <c r="T144" s="19">
        <f>IF(A144="","",IF(COUNTIF($A$2:$A$200,A144)&gt;1,"Duplicate Staff ID",IF(COUNTA(B144:I144)+COUNTA(K144:L144)&lt;10,"Fill in all details",IF($W144="","Pick a department",IF(COUNTIF(M144:R144,"Off")=6,"No OPD days set",IF((M144&lt;&gt;"Off")*(INDEX(Departments!$D$2:$D$13,$W144)="Closed")+(N144&lt;&gt;"Off")*(INDEX(Departments!$E$2:$E$13,$W144)="Closed")+(O144&lt;&gt;"Off")*(INDEX(Departments!$F$2:$F$13,$W144)="Closed")+(P144&lt;&gt;"Off")*(INDEX(Departments!$G$2:$G$13,$W144)="Closed")+(Q144&lt;&gt;"Off")*(INDEX(Departments!$H$2:$H$13,$W144)="Closed")+(R144&lt;&gt;"Off")*(INDEX(Departments!$I$2:$I$13,$W144)="Closed")&gt;0,"Note: works on a closed OPD day","OK"))))))</f>
        <v/>
      </c>
      <c r="U144" s="20">
        <f>C144&amp;"|"&amp;E144</f>
        <v/>
      </c>
      <c r="V144" s="20">
        <f>IF(A144="","",IFERROR(VALUE(MID(A144,4,4)),0))</f>
        <v/>
      </c>
      <c r="W144" s="20">
        <f>IFERROR(MATCH(C144,Departments!$B$2:$B$13,0),"")</f>
        <v/>
      </c>
    </row>
    <row r="145">
      <c r="A145" s="14" t="n"/>
      <c r="B145" s="14" t="n"/>
      <c r="C145" s="14" t="n"/>
      <c r="D145" s="14" t="n"/>
      <c r="E145" s="14" t="n"/>
      <c r="F145" s="14" t="n"/>
      <c r="G145" s="15" t="n"/>
      <c r="H145" s="16" t="n"/>
      <c r="I145" s="17" t="n"/>
      <c r="J145" s="14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8">
        <f>IF(A145="","",COUNTIF(M145:R145,"Full")*2+COUNTIF(M145:R145,"AM")+COUNTIF(M145:R145,"PM"))</f>
        <v/>
      </c>
      <c r="T145" s="19">
        <f>IF(A145="","",IF(COUNTIF($A$2:$A$200,A145)&gt;1,"Duplicate Staff ID",IF(COUNTA(B145:I145)+COUNTA(K145:L145)&lt;10,"Fill in all details",IF($W145="","Pick a department",IF(COUNTIF(M145:R145,"Off")=6,"No OPD days set",IF((M145&lt;&gt;"Off")*(INDEX(Departments!$D$2:$D$13,$W145)="Closed")+(N145&lt;&gt;"Off")*(INDEX(Departments!$E$2:$E$13,$W145)="Closed")+(O145&lt;&gt;"Off")*(INDEX(Departments!$F$2:$F$13,$W145)="Closed")+(P145&lt;&gt;"Off")*(INDEX(Departments!$G$2:$G$13,$W145)="Closed")+(Q145&lt;&gt;"Off")*(INDEX(Departments!$H$2:$H$13,$W145)="Closed")+(R145&lt;&gt;"Off")*(INDEX(Departments!$I$2:$I$13,$W145)="Closed")&gt;0,"Note: works on a closed OPD day","OK"))))))</f>
        <v/>
      </c>
      <c r="U145" s="20">
        <f>C145&amp;"|"&amp;E145</f>
        <v/>
      </c>
      <c r="V145" s="20">
        <f>IF(A145="","",IFERROR(VALUE(MID(A145,4,4)),0))</f>
        <v/>
      </c>
      <c r="W145" s="20">
        <f>IFERROR(MATCH(C145,Departments!$B$2:$B$13,0),"")</f>
        <v/>
      </c>
    </row>
    <row r="146">
      <c r="A146" s="14" t="n"/>
      <c r="B146" s="14" t="n"/>
      <c r="C146" s="14" t="n"/>
      <c r="D146" s="14" t="n"/>
      <c r="E146" s="14" t="n"/>
      <c r="F146" s="14" t="n"/>
      <c r="G146" s="15" t="n"/>
      <c r="H146" s="16" t="n"/>
      <c r="I146" s="17" t="n"/>
      <c r="J146" s="14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8">
        <f>IF(A146="","",COUNTIF(M146:R146,"Full")*2+COUNTIF(M146:R146,"AM")+COUNTIF(M146:R146,"PM"))</f>
        <v/>
      </c>
      <c r="T146" s="19">
        <f>IF(A146="","",IF(COUNTIF($A$2:$A$200,A146)&gt;1,"Duplicate Staff ID",IF(COUNTA(B146:I146)+COUNTA(K146:L146)&lt;10,"Fill in all details",IF($W146="","Pick a department",IF(COUNTIF(M146:R146,"Off")=6,"No OPD days set",IF((M146&lt;&gt;"Off")*(INDEX(Departments!$D$2:$D$13,$W146)="Closed")+(N146&lt;&gt;"Off")*(INDEX(Departments!$E$2:$E$13,$W146)="Closed")+(O146&lt;&gt;"Off")*(INDEX(Departments!$F$2:$F$13,$W146)="Closed")+(P146&lt;&gt;"Off")*(INDEX(Departments!$G$2:$G$13,$W146)="Closed")+(Q146&lt;&gt;"Off")*(INDEX(Departments!$H$2:$H$13,$W146)="Closed")+(R146&lt;&gt;"Off")*(INDEX(Departments!$I$2:$I$13,$W146)="Closed")&gt;0,"Note: works on a closed OPD day","OK"))))))</f>
        <v/>
      </c>
      <c r="U146" s="20">
        <f>C146&amp;"|"&amp;E146</f>
        <v/>
      </c>
      <c r="V146" s="20">
        <f>IF(A146="","",IFERROR(VALUE(MID(A146,4,4)),0))</f>
        <v/>
      </c>
      <c r="W146" s="20">
        <f>IFERROR(MATCH(C146,Departments!$B$2:$B$13,0),"")</f>
        <v/>
      </c>
    </row>
    <row r="147">
      <c r="A147" s="14" t="n"/>
      <c r="B147" s="14" t="n"/>
      <c r="C147" s="14" t="n"/>
      <c r="D147" s="14" t="n"/>
      <c r="E147" s="14" t="n"/>
      <c r="F147" s="14" t="n"/>
      <c r="G147" s="15" t="n"/>
      <c r="H147" s="16" t="n"/>
      <c r="I147" s="17" t="n"/>
      <c r="J147" s="14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8">
        <f>IF(A147="","",COUNTIF(M147:R147,"Full")*2+COUNTIF(M147:R147,"AM")+COUNTIF(M147:R147,"PM"))</f>
        <v/>
      </c>
      <c r="T147" s="19">
        <f>IF(A147="","",IF(COUNTIF($A$2:$A$200,A147)&gt;1,"Duplicate Staff ID",IF(COUNTA(B147:I147)+COUNTA(K147:L147)&lt;10,"Fill in all details",IF($W147="","Pick a department",IF(COUNTIF(M147:R147,"Off")=6,"No OPD days set",IF((M147&lt;&gt;"Off")*(INDEX(Departments!$D$2:$D$13,$W147)="Closed")+(N147&lt;&gt;"Off")*(INDEX(Departments!$E$2:$E$13,$W147)="Closed")+(O147&lt;&gt;"Off")*(INDEX(Departments!$F$2:$F$13,$W147)="Closed")+(P147&lt;&gt;"Off")*(INDEX(Departments!$G$2:$G$13,$W147)="Closed")+(Q147&lt;&gt;"Off")*(INDEX(Departments!$H$2:$H$13,$W147)="Closed")+(R147&lt;&gt;"Off")*(INDEX(Departments!$I$2:$I$13,$W147)="Closed")&gt;0,"Note: works on a closed OPD day","OK"))))))</f>
        <v/>
      </c>
      <c r="U147" s="20">
        <f>C147&amp;"|"&amp;E147</f>
        <v/>
      </c>
      <c r="V147" s="20">
        <f>IF(A147="","",IFERROR(VALUE(MID(A147,4,4)),0))</f>
        <v/>
      </c>
      <c r="W147" s="20">
        <f>IFERROR(MATCH(C147,Departments!$B$2:$B$13,0),"")</f>
        <v/>
      </c>
    </row>
    <row r="148">
      <c r="A148" s="14" t="n"/>
      <c r="B148" s="14" t="n"/>
      <c r="C148" s="14" t="n"/>
      <c r="D148" s="14" t="n"/>
      <c r="E148" s="14" t="n"/>
      <c r="F148" s="14" t="n"/>
      <c r="G148" s="15" t="n"/>
      <c r="H148" s="16" t="n"/>
      <c r="I148" s="17" t="n"/>
      <c r="J148" s="14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8">
        <f>IF(A148="","",COUNTIF(M148:R148,"Full")*2+COUNTIF(M148:R148,"AM")+COUNTIF(M148:R148,"PM"))</f>
        <v/>
      </c>
      <c r="T148" s="19">
        <f>IF(A148="","",IF(COUNTIF($A$2:$A$200,A148)&gt;1,"Duplicate Staff ID",IF(COUNTA(B148:I148)+COUNTA(K148:L148)&lt;10,"Fill in all details",IF($W148="","Pick a department",IF(COUNTIF(M148:R148,"Off")=6,"No OPD days set",IF((M148&lt;&gt;"Off")*(INDEX(Departments!$D$2:$D$13,$W148)="Closed")+(N148&lt;&gt;"Off")*(INDEX(Departments!$E$2:$E$13,$W148)="Closed")+(O148&lt;&gt;"Off")*(INDEX(Departments!$F$2:$F$13,$W148)="Closed")+(P148&lt;&gt;"Off")*(INDEX(Departments!$G$2:$G$13,$W148)="Closed")+(Q148&lt;&gt;"Off")*(INDEX(Departments!$H$2:$H$13,$W148)="Closed")+(R148&lt;&gt;"Off")*(INDEX(Departments!$I$2:$I$13,$W148)="Closed")&gt;0,"Note: works on a closed OPD day","OK"))))))</f>
        <v/>
      </c>
      <c r="U148" s="20">
        <f>C148&amp;"|"&amp;E148</f>
        <v/>
      </c>
      <c r="V148" s="20">
        <f>IF(A148="","",IFERROR(VALUE(MID(A148,4,4)),0))</f>
        <v/>
      </c>
      <c r="W148" s="20">
        <f>IFERROR(MATCH(C148,Departments!$B$2:$B$13,0),"")</f>
        <v/>
      </c>
    </row>
    <row r="149">
      <c r="A149" s="14" t="n"/>
      <c r="B149" s="14" t="n"/>
      <c r="C149" s="14" t="n"/>
      <c r="D149" s="14" t="n"/>
      <c r="E149" s="14" t="n"/>
      <c r="F149" s="14" t="n"/>
      <c r="G149" s="15" t="n"/>
      <c r="H149" s="16" t="n"/>
      <c r="I149" s="17" t="n"/>
      <c r="J149" s="14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8">
        <f>IF(A149="","",COUNTIF(M149:R149,"Full")*2+COUNTIF(M149:R149,"AM")+COUNTIF(M149:R149,"PM"))</f>
        <v/>
      </c>
      <c r="T149" s="19">
        <f>IF(A149="","",IF(COUNTIF($A$2:$A$200,A149)&gt;1,"Duplicate Staff ID",IF(COUNTA(B149:I149)+COUNTA(K149:L149)&lt;10,"Fill in all details",IF($W149="","Pick a department",IF(COUNTIF(M149:R149,"Off")=6,"No OPD days set",IF((M149&lt;&gt;"Off")*(INDEX(Departments!$D$2:$D$13,$W149)="Closed")+(N149&lt;&gt;"Off")*(INDEX(Departments!$E$2:$E$13,$W149)="Closed")+(O149&lt;&gt;"Off")*(INDEX(Departments!$F$2:$F$13,$W149)="Closed")+(P149&lt;&gt;"Off")*(INDEX(Departments!$G$2:$G$13,$W149)="Closed")+(Q149&lt;&gt;"Off")*(INDEX(Departments!$H$2:$H$13,$W149)="Closed")+(R149&lt;&gt;"Off")*(INDEX(Departments!$I$2:$I$13,$W149)="Closed")&gt;0,"Note: works on a closed OPD day","OK"))))))</f>
        <v/>
      </c>
      <c r="U149" s="20">
        <f>C149&amp;"|"&amp;E149</f>
        <v/>
      </c>
      <c r="V149" s="20">
        <f>IF(A149="","",IFERROR(VALUE(MID(A149,4,4)),0))</f>
        <v/>
      </c>
      <c r="W149" s="20">
        <f>IFERROR(MATCH(C149,Departments!$B$2:$B$13,0),"")</f>
        <v/>
      </c>
    </row>
    <row r="150">
      <c r="A150" s="14" t="n"/>
      <c r="B150" s="14" t="n"/>
      <c r="C150" s="14" t="n"/>
      <c r="D150" s="14" t="n"/>
      <c r="E150" s="14" t="n"/>
      <c r="F150" s="14" t="n"/>
      <c r="G150" s="15" t="n"/>
      <c r="H150" s="16" t="n"/>
      <c r="I150" s="17" t="n"/>
      <c r="J150" s="14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8">
        <f>IF(A150="","",COUNTIF(M150:R150,"Full")*2+COUNTIF(M150:R150,"AM")+COUNTIF(M150:R150,"PM"))</f>
        <v/>
      </c>
      <c r="T150" s="19">
        <f>IF(A150="","",IF(COUNTIF($A$2:$A$200,A150)&gt;1,"Duplicate Staff ID",IF(COUNTA(B150:I150)+COUNTA(K150:L150)&lt;10,"Fill in all details",IF($W150="","Pick a department",IF(COUNTIF(M150:R150,"Off")=6,"No OPD days set",IF((M150&lt;&gt;"Off")*(INDEX(Departments!$D$2:$D$13,$W150)="Closed")+(N150&lt;&gt;"Off")*(INDEX(Departments!$E$2:$E$13,$W150)="Closed")+(O150&lt;&gt;"Off")*(INDEX(Departments!$F$2:$F$13,$W150)="Closed")+(P150&lt;&gt;"Off")*(INDEX(Departments!$G$2:$G$13,$W150)="Closed")+(Q150&lt;&gt;"Off")*(INDEX(Departments!$H$2:$H$13,$W150)="Closed")+(R150&lt;&gt;"Off")*(INDEX(Departments!$I$2:$I$13,$W150)="Closed")&gt;0,"Note: works on a closed OPD day","OK"))))))</f>
        <v/>
      </c>
      <c r="U150" s="20">
        <f>C150&amp;"|"&amp;E150</f>
        <v/>
      </c>
      <c r="V150" s="20">
        <f>IF(A150="","",IFERROR(VALUE(MID(A150,4,4)),0))</f>
        <v/>
      </c>
      <c r="W150" s="20">
        <f>IFERROR(MATCH(C150,Departments!$B$2:$B$13,0),"")</f>
        <v/>
      </c>
    </row>
    <row r="151">
      <c r="A151" s="14" t="n"/>
      <c r="B151" s="14" t="n"/>
      <c r="C151" s="14" t="n"/>
      <c r="D151" s="14" t="n"/>
      <c r="E151" s="14" t="n"/>
      <c r="F151" s="14" t="n"/>
      <c r="G151" s="15" t="n"/>
      <c r="H151" s="16" t="n"/>
      <c r="I151" s="17" t="n"/>
      <c r="J151" s="14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8">
        <f>IF(A151="","",COUNTIF(M151:R151,"Full")*2+COUNTIF(M151:R151,"AM")+COUNTIF(M151:R151,"PM"))</f>
        <v/>
      </c>
      <c r="T151" s="19">
        <f>IF(A151="","",IF(COUNTIF($A$2:$A$200,A151)&gt;1,"Duplicate Staff ID",IF(COUNTA(B151:I151)+COUNTA(K151:L151)&lt;10,"Fill in all details",IF($W151="","Pick a department",IF(COUNTIF(M151:R151,"Off")=6,"No OPD days set",IF((M151&lt;&gt;"Off")*(INDEX(Departments!$D$2:$D$13,$W151)="Closed")+(N151&lt;&gt;"Off")*(INDEX(Departments!$E$2:$E$13,$W151)="Closed")+(O151&lt;&gt;"Off")*(INDEX(Departments!$F$2:$F$13,$W151)="Closed")+(P151&lt;&gt;"Off")*(INDEX(Departments!$G$2:$G$13,$W151)="Closed")+(Q151&lt;&gt;"Off")*(INDEX(Departments!$H$2:$H$13,$W151)="Closed")+(R151&lt;&gt;"Off")*(INDEX(Departments!$I$2:$I$13,$W151)="Closed")&gt;0,"Note: works on a closed OPD day","OK"))))))</f>
        <v/>
      </c>
      <c r="U151" s="20">
        <f>C151&amp;"|"&amp;E151</f>
        <v/>
      </c>
      <c r="V151" s="20">
        <f>IF(A151="","",IFERROR(VALUE(MID(A151,4,4)),0))</f>
        <v/>
      </c>
      <c r="W151" s="20">
        <f>IFERROR(MATCH(C151,Departments!$B$2:$B$13,0),"")</f>
        <v/>
      </c>
    </row>
    <row r="152">
      <c r="A152" s="14" t="n"/>
      <c r="B152" s="14" t="n"/>
      <c r="C152" s="14" t="n"/>
      <c r="D152" s="14" t="n"/>
      <c r="E152" s="14" t="n"/>
      <c r="F152" s="14" t="n"/>
      <c r="G152" s="15" t="n"/>
      <c r="H152" s="16" t="n"/>
      <c r="I152" s="17" t="n"/>
      <c r="J152" s="14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8">
        <f>IF(A152="","",COUNTIF(M152:R152,"Full")*2+COUNTIF(M152:R152,"AM")+COUNTIF(M152:R152,"PM"))</f>
        <v/>
      </c>
      <c r="T152" s="19">
        <f>IF(A152="","",IF(COUNTIF($A$2:$A$200,A152)&gt;1,"Duplicate Staff ID",IF(COUNTA(B152:I152)+COUNTA(K152:L152)&lt;10,"Fill in all details",IF($W152="","Pick a department",IF(COUNTIF(M152:R152,"Off")=6,"No OPD days set",IF((M152&lt;&gt;"Off")*(INDEX(Departments!$D$2:$D$13,$W152)="Closed")+(N152&lt;&gt;"Off")*(INDEX(Departments!$E$2:$E$13,$W152)="Closed")+(O152&lt;&gt;"Off")*(INDEX(Departments!$F$2:$F$13,$W152)="Closed")+(P152&lt;&gt;"Off")*(INDEX(Departments!$G$2:$G$13,$W152)="Closed")+(Q152&lt;&gt;"Off")*(INDEX(Departments!$H$2:$H$13,$W152)="Closed")+(R152&lt;&gt;"Off")*(INDEX(Departments!$I$2:$I$13,$W152)="Closed")&gt;0,"Note: works on a closed OPD day","OK"))))))</f>
        <v/>
      </c>
      <c r="U152" s="20">
        <f>C152&amp;"|"&amp;E152</f>
        <v/>
      </c>
      <c r="V152" s="20">
        <f>IF(A152="","",IFERROR(VALUE(MID(A152,4,4)),0))</f>
        <v/>
      </c>
      <c r="W152" s="20">
        <f>IFERROR(MATCH(C152,Departments!$B$2:$B$13,0),"")</f>
        <v/>
      </c>
    </row>
    <row r="153">
      <c r="A153" s="14" t="n"/>
      <c r="B153" s="14" t="n"/>
      <c r="C153" s="14" t="n"/>
      <c r="D153" s="14" t="n"/>
      <c r="E153" s="14" t="n"/>
      <c r="F153" s="14" t="n"/>
      <c r="G153" s="15" t="n"/>
      <c r="H153" s="16" t="n"/>
      <c r="I153" s="17" t="n"/>
      <c r="J153" s="14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8">
        <f>IF(A153="","",COUNTIF(M153:R153,"Full")*2+COUNTIF(M153:R153,"AM")+COUNTIF(M153:R153,"PM"))</f>
        <v/>
      </c>
      <c r="T153" s="19">
        <f>IF(A153="","",IF(COUNTIF($A$2:$A$200,A153)&gt;1,"Duplicate Staff ID",IF(COUNTA(B153:I153)+COUNTA(K153:L153)&lt;10,"Fill in all details",IF($W153="","Pick a department",IF(COUNTIF(M153:R153,"Off")=6,"No OPD days set",IF((M153&lt;&gt;"Off")*(INDEX(Departments!$D$2:$D$13,$W153)="Closed")+(N153&lt;&gt;"Off")*(INDEX(Departments!$E$2:$E$13,$W153)="Closed")+(O153&lt;&gt;"Off")*(INDEX(Departments!$F$2:$F$13,$W153)="Closed")+(P153&lt;&gt;"Off")*(INDEX(Departments!$G$2:$G$13,$W153)="Closed")+(Q153&lt;&gt;"Off")*(INDEX(Departments!$H$2:$H$13,$W153)="Closed")+(R153&lt;&gt;"Off")*(INDEX(Departments!$I$2:$I$13,$W153)="Closed")&gt;0,"Note: works on a closed OPD day","OK"))))))</f>
        <v/>
      </c>
      <c r="U153" s="20">
        <f>C153&amp;"|"&amp;E153</f>
        <v/>
      </c>
      <c r="V153" s="20">
        <f>IF(A153="","",IFERROR(VALUE(MID(A153,4,4)),0))</f>
        <v/>
      </c>
      <c r="W153" s="20">
        <f>IFERROR(MATCH(C153,Departments!$B$2:$B$13,0),"")</f>
        <v/>
      </c>
    </row>
    <row r="154">
      <c r="A154" s="14" t="n"/>
      <c r="B154" s="14" t="n"/>
      <c r="C154" s="14" t="n"/>
      <c r="D154" s="14" t="n"/>
      <c r="E154" s="14" t="n"/>
      <c r="F154" s="14" t="n"/>
      <c r="G154" s="15" t="n"/>
      <c r="H154" s="16" t="n"/>
      <c r="I154" s="17" t="n"/>
      <c r="J154" s="14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8">
        <f>IF(A154="","",COUNTIF(M154:R154,"Full")*2+COUNTIF(M154:R154,"AM")+COUNTIF(M154:R154,"PM"))</f>
        <v/>
      </c>
      <c r="T154" s="19">
        <f>IF(A154="","",IF(COUNTIF($A$2:$A$200,A154)&gt;1,"Duplicate Staff ID",IF(COUNTA(B154:I154)+COUNTA(K154:L154)&lt;10,"Fill in all details",IF($W154="","Pick a department",IF(COUNTIF(M154:R154,"Off")=6,"No OPD days set",IF((M154&lt;&gt;"Off")*(INDEX(Departments!$D$2:$D$13,$W154)="Closed")+(N154&lt;&gt;"Off")*(INDEX(Departments!$E$2:$E$13,$W154)="Closed")+(O154&lt;&gt;"Off")*(INDEX(Departments!$F$2:$F$13,$W154)="Closed")+(P154&lt;&gt;"Off")*(INDEX(Departments!$G$2:$G$13,$W154)="Closed")+(Q154&lt;&gt;"Off")*(INDEX(Departments!$H$2:$H$13,$W154)="Closed")+(R154&lt;&gt;"Off")*(INDEX(Departments!$I$2:$I$13,$W154)="Closed")&gt;0,"Note: works on a closed OPD day","OK"))))))</f>
        <v/>
      </c>
      <c r="U154" s="20">
        <f>C154&amp;"|"&amp;E154</f>
        <v/>
      </c>
      <c r="V154" s="20">
        <f>IF(A154="","",IFERROR(VALUE(MID(A154,4,4)),0))</f>
        <v/>
      </c>
      <c r="W154" s="20">
        <f>IFERROR(MATCH(C154,Departments!$B$2:$B$13,0),"")</f>
        <v/>
      </c>
    </row>
    <row r="155">
      <c r="A155" s="14" t="n"/>
      <c r="B155" s="14" t="n"/>
      <c r="C155" s="14" t="n"/>
      <c r="D155" s="14" t="n"/>
      <c r="E155" s="14" t="n"/>
      <c r="F155" s="14" t="n"/>
      <c r="G155" s="15" t="n"/>
      <c r="H155" s="16" t="n"/>
      <c r="I155" s="17" t="n"/>
      <c r="J155" s="14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8">
        <f>IF(A155="","",COUNTIF(M155:R155,"Full")*2+COUNTIF(M155:R155,"AM")+COUNTIF(M155:R155,"PM"))</f>
        <v/>
      </c>
      <c r="T155" s="19">
        <f>IF(A155="","",IF(COUNTIF($A$2:$A$200,A155)&gt;1,"Duplicate Staff ID",IF(COUNTA(B155:I155)+COUNTA(K155:L155)&lt;10,"Fill in all details",IF($W155="","Pick a department",IF(COUNTIF(M155:R155,"Off")=6,"No OPD days set",IF((M155&lt;&gt;"Off")*(INDEX(Departments!$D$2:$D$13,$W155)="Closed")+(N155&lt;&gt;"Off")*(INDEX(Departments!$E$2:$E$13,$W155)="Closed")+(O155&lt;&gt;"Off")*(INDEX(Departments!$F$2:$F$13,$W155)="Closed")+(P155&lt;&gt;"Off")*(INDEX(Departments!$G$2:$G$13,$W155)="Closed")+(Q155&lt;&gt;"Off")*(INDEX(Departments!$H$2:$H$13,$W155)="Closed")+(R155&lt;&gt;"Off")*(INDEX(Departments!$I$2:$I$13,$W155)="Closed")&gt;0,"Note: works on a closed OPD day","OK"))))))</f>
        <v/>
      </c>
      <c r="U155" s="20">
        <f>C155&amp;"|"&amp;E155</f>
        <v/>
      </c>
      <c r="V155" s="20">
        <f>IF(A155="","",IFERROR(VALUE(MID(A155,4,4)),0))</f>
        <v/>
      </c>
      <c r="W155" s="20">
        <f>IFERROR(MATCH(C155,Departments!$B$2:$B$13,0),"")</f>
        <v/>
      </c>
    </row>
    <row r="156">
      <c r="A156" s="14" t="n"/>
      <c r="B156" s="14" t="n"/>
      <c r="C156" s="14" t="n"/>
      <c r="D156" s="14" t="n"/>
      <c r="E156" s="14" t="n"/>
      <c r="F156" s="14" t="n"/>
      <c r="G156" s="15" t="n"/>
      <c r="H156" s="16" t="n"/>
      <c r="I156" s="17" t="n"/>
      <c r="J156" s="14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8">
        <f>IF(A156="","",COUNTIF(M156:R156,"Full")*2+COUNTIF(M156:R156,"AM")+COUNTIF(M156:R156,"PM"))</f>
        <v/>
      </c>
      <c r="T156" s="19">
        <f>IF(A156="","",IF(COUNTIF($A$2:$A$200,A156)&gt;1,"Duplicate Staff ID",IF(COUNTA(B156:I156)+COUNTA(K156:L156)&lt;10,"Fill in all details",IF($W156="","Pick a department",IF(COUNTIF(M156:R156,"Off")=6,"No OPD days set",IF((M156&lt;&gt;"Off")*(INDEX(Departments!$D$2:$D$13,$W156)="Closed")+(N156&lt;&gt;"Off")*(INDEX(Departments!$E$2:$E$13,$W156)="Closed")+(O156&lt;&gt;"Off")*(INDEX(Departments!$F$2:$F$13,$W156)="Closed")+(P156&lt;&gt;"Off")*(INDEX(Departments!$G$2:$G$13,$W156)="Closed")+(Q156&lt;&gt;"Off")*(INDEX(Departments!$H$2:$H$13,$W156)="Closed")+(R156&lt;&gt;"Off")*(INDEX(Departments!$I$2:$I$13,$W156)="Closed")&gt;0,"Note: works on a closed OPD day","OK"))))))</f>
        <v/>
      </c>
      <c r="U156" s="20">
        <f>C156&amp;"|"&amp;E156</f>
        <v/>
      </c>
      <c r="V156" s="20">
        <f>IF(A156="","",IFERROR(VALUE(MID(A156,4,4)),0))</f>
        <v/>
      </c>
      <c r="W156" s="20">
        <f>IFERROR(MATCH(C156,Departments!$B$2:$B$13,0),"")</f>
        <v/>
      </c>
    </row>
    <row r="157">
      <c r="A157" s="14" t="n"/>
      <c r="B157" s="14" t="n"/>
      <c r="C157" s="14" t="n"/>
      <c r="D157" s="14" t="n"/>
      <c r="E157" s="14" t="n"/>
      <c r="F157" s="14" t="n"/>
      <c r="G157" s="15" t="n"/>
      <c r="H157" s="16" t="n"/>
      <c r="I157" s="17" t="n"/>
      <c r="J157" s="14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8">
        <f>IF(A157="","",COUNTIF(M157:R157,"Full")*2+COUNTIF(M157:R157,"AM")+COUNTIF(M157:R157,"PM"))</f>
        <v/>
      </c>
      <c r="T157" s="19">
        <f>IF(A157="","",IF(COUNTIF($A$2:$A$200,A157)&gt;1,"Duplicate Staff ID",IF(COUNTA(B157:I157)+COUNTA(K157:L157)&lt;10,"Fill in all details",IF($W157="","Pick a department",IF(COUNTIF(M157:R157,"Off")=6,"No OPD days set",IF((M157&lt;&gt;"Off")*(INDEX(Departments!$D$2:$D$13,$W157)="Closed")+(N157&lt;&gt;"Off")*(INDEX(Departments!$E$2:$E$13,$W157)="Closed")+(O157&lt;&gt;"Off")*(INDEX(Departments!$F$2:$F$13,$W157)="Closed")+(P157&lt;&gt;"Off")*(INDEX(Departments!$G$2:$G$13,$W157)="Closed")+(Q157&lt;&gt;"Off")*(INDEX(Departments!$H$2:$H$13,$W157)="Closed")+(R157&lt;&gt;"Off")*(INDEX(Departments!$I$2:$I$13,$W157)="Closed")&gt;0,"Note: works on a closed OPD day","OK"))))))</f>
        <v/>
      </c>
      <c r="U157" s="20">
        <f>C157&amp;"|"&amp;E157</f>
        <v/>
      </c>
      <c r="V157" s="20">
        <f>IF(A157="","",IFERROR(VALUE(MID(A157,4,4)),0))</f>
        <v/>
      </c>
      <c r="W157" s="20">
        <f>IFERROR(MATCH(C157,Departments!$B$2:$B$13,0),"")</f>
        <v/>
      </c>
    </row>
    <row r="158">
      <c r="A158" s="14" t="n"/>
      <c r="B158" s="14" t="n"/>
      <c r="C158" s="14" t="n"/>
      <c r="D158" s="14" t="n"/>
      <c r="E158" s="14" t="n"/>
      <c r="F158" s="14" t="n"/>
      <c r="G158" s="15" t="n"/>
      <c r="H158" s="16" t="n"/>
      <c r="I158" s="17" t="n"/>
      <c r="J158" s="14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8">
        <f>IF(A158="","",COUNTIF(M158:R158,"Full")*2+COUNTIF(M158:R158,"AM")+COUNTIF(M158:R158,"PM"))</f>
        <v/>
      </c>
      <c r="T158" s="19">
        <f>IF(A158="","",IF(COUNTIF($A$2:$A$200,A158)&gt;1,"Duplicate Staff ID",IF(COUNTA(B158:I158)+COUNTA(K158:L158)&lt;10,"Fill in all details",IF($W158="","Pick a department",IF(COUNTIF(M158:R158,"Off")=6,"No OPD days set",IF((M158&lt;&gt;"Off")*(INDEX(Departments!$D$2:$D$13,$W158)="Closed")+(N158&lt;&gt;"Off")*(INDEX(Departments!$E$2:$E$13,$W158)="Closed")+(O158&lt;&gt;"Off")*(INDEX(Departments!$F$2:$F$13,$W158)="Closed")+(P158&lt;&gt;"Off")*(INDEX(Departments!$G$2:$G$13,$W158)="Closed")+(Q158&lt;&gt;"Off")*(INDEX(Departments!$H$2:$H$13,$W158)="Closed")+(R158&lt;&gt;"Off")*(INDEX(Departments!$I$2:$I$13,$W158)="Closed")&gt;0,"Note: works on a closed OPD day","OK"))))))</f>
        <v/>
      </c>
      <c r="U158" s="20">
        <f>C158&amp;"|"&amp;E158</f>
        <v/>
      </c>
      <c r="V158" s="20">
        <f>IF(A158="","",IFERROR(VALUE(MID(A158,4,4)),0))</f>
        <v/>
      </c>
      <c r="W158" s="20">
        <f>IFERROR(MATCH(C158,Departments!$B$2:$B$13,0),"")</f>
        <v/>
      </c>
    </row>
    <row r="159">
      <c r="A159" s="14" t="n"/>
      <c r="B159" s="14" t="n"/>
      <c r="C159" s="14" t="n"/>
      <c r="D159" s="14" t="n"/>
      <c r="E159" s="14" t="n"/>
      <c r="F159" s="14" t="n"/>
      <c r="G159" s="15" t="n"/>
      <c r="H159" s="16" t="n"/>
      <c r="I159" s="17" t="n"/>
      <c r="J159" s="14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8">
        <f>IF(A159="","",COUNTIF(M159:R159,"Full")*2+COUNTIF(M159:R159,"AM")+COUNTIF(M159:R159,"PM"))</f>
        <v/>
      </c>
      <c r="T159" s="19">
        <f>IF(A159="","",IF(COUNTIF($A$2:$A$200,A159)&gt;1,"Duplicate Staff ID",IF(COUNTA(B159:I159)+COUNTA(K159:L159)&lt;10,"Fill in all details",IF($W159="","Pick a department",IF(COUNTIF(M159:R159,"Off")=6,"No OPD days set",IF((M159&lt;&gt;"Off")*(INDEX(Departments!$D$2:$D$13,$W159)="Closed")+(N159&lt;&gt;"Off")*(INDEX(Departments!$E$2:$E$13,$W159)="Closed")+(O159&lt;&gt;"Off")*(INDEX(Departments!$F$2:$F$13,$W159)="Closed")+(P159&lt;&gt;"Off")*(INDEX(Departments!$G$2:$G$13,$W159)="Closed")+(Q159&lt;&gt;"Off")*(INDEX(Departments!$H$2:$H$13,$W159)="Closed")+(R159&lt;&gt;"Off")*(INDEX(Departments!$I$2:$I$13,$W159)="Closed")&gt;0,"Note: works on a closed OPD day","OK"))))))</f>
        <v/>
      </c>
      <c r="U159" s="20">
        <f>C159&amp;"|"&amp;E159</f>
        <v/>
      </c>
      <c r="V159" s="20">
        <f>IF(A159="","",IFERROR(VALUE(MID(A159,4,4)),0))</f>
        <v/>
      </c>
      <c r="W159" s="20">
        <f>IFERROR(MATCH(C159,Departments!$B$2:$B$13,0),"")</f>
        <v/>
      </c>
    </row>
    <row r="160">
      <c r="A160" s="14" t="n"/>
      <c r="B160" s="14" t="n"/>
      <c r="C160" s="14" t="n"/>
      <c r="D160" s="14" t="n"/>
      <c r="E160" s="14" t="n"/>
      <c r="F160" s="14" t="n"/>
      <c r="G160" s="15" t="n"/>
      <c r="H160" s="16" t="n"/>
      <c r="I160" s="17" t="n"/>
      <c r="J160" s="14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8">
        <f>IF(A160="","",COUNTIF(M160:R160,"Full")*2+COUNTIF(M160:R160,"AM")+COUNTIF(M160:R160,"PM"))</f>
        <v/>
      </c>
      <c r="T160" s="19">
        <f>IF(A160="","",IF(COUNTIF($A$2:$A$200,A160)&gt;1,"Duplicate Staff ID",IF(COUNTA(B160:I160)+COUNTA(K160:L160)&lt;10,"Fill in all details",IF($W160="","Pick a department",IF(COUNTIF(M160:R160,"Off")=6,"No OPD days set",IF((M160&lt;&gt;"Off")*(INDEX(Departments!$D$2:$D$13,$W160)="Closed")+(N160&lt;&gt;"Off")*(INDEX(Departments!$E$2:$E$13,$W160)="Closed")+(O160&lt;&gt;"Off")*(INDEX(Departments!$F$2:$F$13,$W160)="Closed")+(P160&lt;&gt;"Off")*(INDEX(Departments!$G$2:$G$13,$W160)="Closed")+(Q160&lt;&gt;"Off")*(INDEX(Departments!$H$2:$H$13,$W160)="Closed")+(R160&lt;&gt;"Off")*(INDEX(Departments!$I$2:$I$13,$W160)="Closed")&gt;0,"Note: works on a closed OPD day","OK"))))))</f>
        <v/>
      </c>
      <c r="U160" s="20">
        <f>C160&amp;"|"&amp;E160</f>
        <v/>
      </c>
      <c r="V160" s="20">
        <f>IF(A160="","",IFERROR(VALUE(MID(A160,4,4)),0))</f>
        <v/>
      </c>
      <c r="W160" s="20">
        <f>IFERROR(MATCH(C160,Departments!$B$2:$B$13,0),"")</f>
        <v/>
      </c>
    </row>
    <row r="161">
      <c r="A161" s="14" t="n"/>
      <c r="B161" s="14" t="n"/>
      <c r="C161" s="14" t="n"/>
      <c r="D161" s="14" t="n"/>
      <c r="E161" s="14" t="n"/>
      <c r="F161" s="14" t="n"/>
      <c r="G161" s="15" t="n"/>
      <c r="H161" s="16" t="n"/>
      <c r="I161" s="17" t="n"/>
      <c r="J161" s="14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8">
        <f>IF(A161="","",COUNTIF(M161:R161,"Full")*2+COUNTIF(M161:R161,"AM")+COUNTIF(M161:R161,"PM"))</f>
        <v/>
      </c>
      <c r="T161" s="19">
        <f>IF(A161="","",IF(COUNTIF($A$2:$A$200,A161)&gt;1,"Duplicate Staff ID",IF(COUNTA(B161:I161)+COUNTA(K161:L161)&lt;10,"Fill in all details",IF($W161="","Pick a department",IF(COUNTIF(M161:R161,"Off")=6,"No OPD days set",IF((M161&lt;&gt;"Off")*(INDEX(Departments!$D$2:$D$13,$W161)="Closed")+(N161&lt;&gt;"Off")*(INDEX(Departments!$E$2:$E$13,$W161)="Closed")+(O161&lt;&gt;"Off")*(INDEX(Departments!$F$2:$F$13,$W161)="Closed")+(P161&lt;&gt;"Off")*(INDEX(Departments!$G$2:$G$13,$W161)="Closed")+(Q161&lt;&gt;"Off")*(INDEX(Departments!$H$2:$H$13,$W161)="Closed")+(R161&lt;&gt;"Off")*(INDEX(Departments!$I$2:$I$13,$W161)="Closed")&gt;0,"Note: works on a closed OPD day","OK"))))))</f>
        <v/>
      </c>
      <c r="U161" s="20">
        <f>C161&amp;"|"&amp;E161</f>
        <v/>
      </c>
      <c r="V161" s="20">
        <f>IF(A161="","",IFERROR(VALUE(MID(A161,4,4)),0))</f>
        <v/>
      </c>
      <c r="W161" s="20">
        <f>IFERROR(MATCH(C161,Departments!$B$2:$B$13,0),"")</f>
        <v/>
      </c>
    </row>
    <row r="162">
      <c r="A162" s="14" t="n"/>
      <c r="B162" s="14" t="n"/>
      <c r="C162" s="14" t="n"/>
      <c r="D162" s="14" t="n"/>
      <c r="E162" s="14" t="n"/>
      <c r="F162" s="14" t="n"/>
      <c r="G162" s="15" t="n"/>
      <c r="H162" s="16" t="n"/>
      <c r="I162" s="17" t="n"/>
      <c r="J162" s="14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8">
        <f>IF(A162="","",COUNTIF(M162:R162,"Full")*2+COUNTIF(M162:R162,"AM")+COUNTIF(M162:R162,"PM"))</f>
        <v/>
      </c>
      <c r="T162" s="19">
        <f>IF(A162="","",IF(COUNTIF($A$2:$A$200,A162)&gt;1,"Duplicate Staff ID",IF(COUNTA(B162:I162)+COUNTA(K162:L162)&lt;10,"Fill in all details",IF($W162="","Pick a department",IF(COUNTIF(M162:R162,"Off")=6,"No OPD days set",IF((M162&lt;&gt;"Off")*(INDEX(Departments!$D$2:$D$13,$W162)="Closed")+(N162&lt;&gt;"Off")*(INDEX(Departments!$E$2:$E$13,$W162)="Closed")+(O162&lt;&gt;"Off")*(INDEX(Departments!$F$2:$F$13,$W162)="Closed")+(P162&lt;&gt;"Off")*(INDEX(Departments!$G$2:$G$13,$W162)="Closed")+(Q162&lt;&gt;"Off")*(INDEX(Departments!$H$2:$H$13,$W162)="Closed")+(R162&lt;&gt;"Off")*(INDEX(Departments!$I$2:$I$13,$W162)="Closed")&gt;0,"Note: works on a closed OPD day","OK"))))))</f>
        <v/>
      </c>
      <c r="U162" s="20">
        <f>C162&amp;"|"&amp;E162</f>
        <v/>
      </c>
      <c r="V162" s="20">
        <f>IF(A162="","",IFERROR(VALUE(MID(A162,4,4)),0))</f>
        <v/>
      </c>
      <c r="W162" s="20">
        <f>IFERROR(MATCH(C162,Departments!$B$2:$B$13,0),"")</f>
        <v/>
      </c>
    </row>
    <row r="163">
      <c r="A163" s="14" t="n"/>
      <c r="B163" s="14" t="n"/>
      <c r="C163" s="14" t="n"/>
      <c r="D163" s="14" t="n"/>
      <c r="E163" s="14" t="n"/>
      <c r="F163" s="14" t="n"/>
      <c r="G163" s="15" t="n"/>
      <c r="H163" s="16" t="n"/>
      <c r="I163" s="17" t="n"/>
      <c r="J163" s="14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8">
        <f>IF(A163="","",COUNTIF(M163:R163,"Full")*2+COUNTIF(M163:R163,"AM")+COUNTIF(M163:R163,"PM"))</f>
        <v/>
      </c>
      <c r="T163" s="19">
        <f>IF(A163="","",IF(COUNTIF($A$2:$A$200,A163)&gt;1,"Duplicate Staff ID",IF(COUNTA(B163:I163)+COUNTA(K163:L163)&lt;10,"Fill in all details",IF($W163="","Pick a department",IF(COUNTIF(M163:R163,"Off")=6,"No OPD days set",IF((M163&lt;&gt;"Off")*(INDEX(Departments!$D$2:$D$13,$W163)="Closed")+(N163&lt;&gt;"Off")*(INDEX(Departments!$E$2:$E$13,$W163)="Closed")+(O163&lt;&gt;"Off")*(INDEX(Departments!$F$2:$F$13,$W163)="Closed")+(P163&lt;&gt;"Off")*(INDEX(Departments!$G$2:$G$13,$W163)="Closed")+(Q163&lt;&gt;"Off")*(INDEX(Departments!$H$2:$H$13,$W163)="Closed")+(R163&lt;&gt;"Off")*(INDEX(Departments!$I$2:$I$13,$W163)="Closed")&gt;0,"Note: works on a closed OPD day","OK"))))))</f>
        <v/>
      </c>
      <c r="U163" s="20">
        <f>C163&amp;"|"&amp;E163</f>
        <v/>
      </c>
      <c r="V163" s="20">
        <f>IF(A163="","",IFERROR(VALUE(MID(A163,4,4)),0))</f>
        <v/>
      </c>
      <c r="W163" s="20">
        <f>IFERROR(MATCH(C163,Departments!$B$2:$B$13,0),"")</f>
        <v/>
      </c>
    </row>
    <row r="164">
      <c r="A164" s="14" t="n"/>
      <c r="B164" s="14" t="n"/>
      <c r="C164" s="14" t="n"/>
      <c r="D164" s="14" t="n"/>
      <c r="E164" s="14" t="n"/>
      <c r="F164" s="14" t="n"/>
      <c r="G164" s="15" t="n"/>
      <c r="H164" s="16" t="n"/>
      <c r="I164" s="17" t="n"/>
      <c r="J164" s="14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8">
        <f>IF(A164="","",COUNTIF(M164:R164,"Full")*2+COUNTIF(M164:R164,"AM")+COUNTIF(M164:R164,"PM"))</f>
        <v/>
      </c>
      <c r="T164" s="19">
        <f>IF(A164="","",IF(COUNTIF($A$2:$A$200,A164)&gt;1,"Duplicate Staff ID",IF(COUNTA(B164:I164)+COUNTA(K164:L164)&lt;10,"Fill in all details",IF($W164="","Pick a department",IF(COUNTIF(M164:R164,"Off")=6,"No OPD days set",IF((M164&lt;&gt;"Off")*(INDEX(Departments!$D$2:$D$13,$W164)="Closed")+(N164&lt;&gt;"Off")*(INDEX(Departments!$E$2:$E$13,$W164)="Closed")+(O164&lt;&gt;"Off")*(INDEX(Departments!$F$2:$F$13,$W164)="Closed")+(P164&lt;&gt;"Off")*(INDEX(Departments!$G$2:$G$13,$W164)="Closed")+(Q164&lt;&gt;"Off")*(INDEX(Departments!$H$2:$H$13,$W164)="Closed")+(R164&lt;&gt;"Off")*(INDEX(Departments!$I$2:$I$13,$W164)="Closed")&gt;0,"Note: works on a closed OPD day","OK"))))))</f>
        <v/>
      </c>
      <c r="U164" s="20">
        <f>C164&amp;"|"&amp;E164</f>
        <v/>
      </c>
      <c r="V164" s="20">
        <f>IF(A164="","",IFERROR(VALUE(MID(A164,4,4)),0))</f>
        <v/>
      </c>
      <c r="W164" s="20">
        <f>IFERROR(MATCH(C164,Departments!$B$2:$B$13,0),"")</f>
        <v/>
      </c>
    </row>
    <row r="165">
      <c r="A165" s="14" t="n"/>
      <c r="B165" s="14" t="n"/>
      <c r="C165" s="14" t="n"/>
      <c r="D165" s="14" t="n"/>
      <c r="E165" s="14" t="n"/>
      <c r="F165" s="14" t="n"/>
      <c r="G165" s="15" t="n"/>
      <c r="H165" s="16" t="n"/>
      <c r="I165" s="17" t="n"/>
      <c r="J165" s="14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8">
        <f>IF(A165="","",COUNTIF(M165:R165,"Full")*2+COUNTIF(M165:R165,"AM")+COUNTIF(M165:R165,"PM"))</f>
        <v/>
      </c>
      <c r="T165" s="19">
        <f>IF(A165="","",IF(COUNTIF($A$2:$A$200,A165)&gt;1,"Duplicate Staff ID",IF(COUNTA(B165:I165)+COUNTA(K165:L165)&lt;10,"Fill in all details",IF($W165="","Pick a department",IF(COUNTIF(M165:R165,"Off")=6,"No OPD days set",IF((M165&lt;&gt;"Off")*(INDEX(Departments!$D$2:$D$13,$W165)="Closed")+(N165&lt;&gt;"Off")*(INDEX(Departments!$E$2:$E$13,$W165)="Closed")+(O165&lt;&gt;"Off")*(INDEX(Departments!$F$2:$F$13,$W165)="Closed")+(P165&lt;&gt;"Off")*(INDEX(Departments!$G$2:$G$13,$W165)="Closed")+(Q165&lt;&gt;"Off")*(INDEX(Departments!$H$2:$H$13,$W165)="Closed")+(R165&lt;&gt;"Off")*(INDEX(Departments!$I$2:$I$13,$W165)="Closed")&gt;0,"Note: works on a closed OPD day","OK"))))))</f>
        <v/>
      </c>
      <c r="U165" s="20">
        <f>C165&amp;"|"&amp;E165</f>
        <v/>
      </c>
      <c r="V165" s="20">
        <f>IF(A165="","",IFERROR(VALUE(MID(A165,4,4)),0))</f>
        <v/>
      </c>
      <c r="W165" s="20">
        <f>IFERROR(MATCH(C165,Departments!$B$2:$B$13,0),"")</f>
        <v/>
      </c>
    </row>
    <row r="166">
      <c r="A166" s="14" t="n"/>
      <c r="B166" s="14" t="n"/>
      <c r="C166" s="14" t="n"/>
      <c r="D166" s="14" t="n"/>
      <c r="E166" s="14" t="n"/>
      <c r="F166" s="14" t="n"/>
      <c r="G166" s="15" t="n"/>
      <c r="H166" s="16" t="n"/>
      <c r="I166" s="17" t="n"/>
      <c r="J166" s="14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8">
        <f>IF(A166="","",COUNTIF(M166:R166,"Full")*2+COUNTIF(M166:R166,"AM")+COUNTIF(M166:R166,"PM"))</f>
        <v/>
      </c>
      <c r="T166" s="19">
        <f>IF(A166="","",IF(COUNTIF($A$2:$A$200,A166)&gt;1,"Duplicate Staff ID",IF(COUNTA(B166:I166)+COUNTA(K166:L166)&lt;10,"Fill in all details",IF($W166="","Pick a department",IF(COUNTIF(M166:R166,"Off")=6,"No OPD days set",IF((M166&lt;&gt;"Off")*(INDEX(Departments!$D$2:$D$13,$W166)="Closed")+(N166&lt;&gt;"Off")*(INDEX(Departments!$E$2:$E$13,$W166)="Closed")+(O166&lt;&gt;"Off")*(INDEX(Departments!$F$2:$F$13,$W166)="Closed")+(P166&lt;&gt;"Off")*(INDEX(Departments!$G$2:$G$13,$W166)="Closed")+(Q166&lt;&gt;"Off")*(INDEX(Departments!$H$2:$H$13,$W166)="Closed")+(R166&lt;&gt;"Off")*(INDEX(Departments!$I$2:$I$13,$W166)="Closed")&gt;0,"Note: works on a closed OPD day","OK"))))))</f>
        <v/>
      </c>
      <c r="U166" s="20">
        <f>C166&amp;"|"&amp;E166</f>
        <v/>
      </c>
      <c r="V166" s="20">
        <f>IF(A166="","",IFERROR(VALUE(MID(A166,4,4)),0))</f>
        <v/>
      </c>
      <c r="W166" s="20">
        <f>IFERROR(MATCH(C166,Departments!$B$2:$B$13,0),"")</f>
        <v/>
      </c>
    </row>
    <row r="167">
      <c r="A167" s="14" t="n"/>
      <c r="B167" s="14" t="n"/>
      <c r="C167" s="14" t="n"/>
      <c r="D167" s="14" t="n"/>
      <c r="E167" s="14" t="n"/>
      <c r="F167" s="14" t="n"/>
      <c r="G167" s="15" t="n"/>
      <c r="H167" s="16" t="n"/>
      <c r="I167" s="17" t="n"/>
      <c r="J167" s="14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8">
        <f>IF(A167="","",COUNTIF(M167:R167,"Full")*2+COUNTIF(M167:R167,"AM")+COUNTIF(M167:R167,"PM"))</f>
        <v/>
      </c>
      <c r="T167" s="19">
        <f>IF(A167="","",IF(COUNTIF($A$2:$A$200,A167)&gt;1,"Duplicate Staff ID",IF(COUNTA(B167:I167)+COUNTA(K167:L167)&lt;10,"Fill in all details",IF($W167="","Pick a department",IF(COUNTIF(M167:R167,"Off")=6,"No OPD days set",IF((M167&lt;&gt;"Off")*(INDEX(Departments!$D$2:$D$13,$W167)="Closed")+(N167&lt;&gt;"Off")*(INDEX(Departments!$E$2:$E$13,$W167)="Closed")+(O167&lt;&gt;"Off")*(INDEX(Departments!$F$2:$F$13,$W167)="Closed")+(P167&lt;&gt;"Off")*(INDEX(Departments!$G$2:$G$13,$W167)="Closed")+(Q167&lt;&gt;"Off")*(INDEX(Departments!$H$2:$H$13,$W167)="Closed")+(R167&lt;&gt;"Off")*(INDEX(Departments!$I$2:$I$13,$W167)="Closed")&gt;0,"Note: works on a closed OPD day","OK"))))))</f>
        <v/>
      </c>
      <c r="U167" s="20">
        <f>C167&amp;"|"&amp;E167</f>
        <v/>
      </c>
      <c r="V167" s="20">
        <f>IF(A167="","",IFERROR(VALUE(MID(A167,4,4)),0))</f>
        <v/>
      </c>
      <c r="W167" s="20">
        <f>IFERROR(MATCH(C167,Departments!$B$2:$B$13,0),"")</f>
        <v/>
      </c>
    </row>
    <row r="168">
      <c r="A168" s="14" t="n"/>
      <c r="B168" s="14" t="n"/>
      <c r="C168" s="14" t="n"/>
      <c r="D168" s="14" t="n"/>
      <c r="E168" s="14" t="n"/>
      <c r="F168" s="14" t="n"/>
      <c r="G168" s="15" t="n"/>
      <c r="H168" s="16" t="n"/>
      <c r="I168" s="17" t="n"/>
      <c r="J168" s="14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8">
        <f>IF(A168="","",COUNTIF(M168:R168,"Full")*2+COUNTIF(M168:R168,"AM")+COUNTIF(M168:R168,"PM"))</f>
        <v/>
      </c>
      <c r="T168" s="19">
        <f>IF(A168="","",IF(COUNTIF($A$2:$A$200,A168)&gt;1,"Duplicate Staff ID",IF(COUNTA(B168:I168)+COUNTA(K168:L168)&lt;10,"Fill in all details",IF($W168="","Pick a department",IF(COUNTIF(M168:R168,"Off")=6,"No OPD days set",IF((M168&lt;&gt;"Off")*(INDEX(Departments!$D$2:$D$13,$W168)="Closed")+(N168&lt;&gt;"Off")*(INDEX(Departments!$E$2:$E$13,$W168)="Closed")+(O168&lt;&gt;"Off")*(INDEX(Departments!$F$2:$F$13,$W168)="Closed")+(P168&lt;&gt;"Off")*(INDEX(Departments!$G$2:$G$13,$W168)="Closed")+(Q168&lt;&gt;"Off")*(INDEX(Departments!$H$2:$H$13,$W168)="Closed")+(R168&lt;&gt;"Off")*(INDEX(Departments!$I$2:$I$13,$W168)="Closed")&gt;0,"Note: works on a closed OPD day","OK"))))))</f>
        <v/>
      </c>
      <c r="U168" s="20">
        <f>C168&amp;"|"&amp;E168</f>
        <v/>
      </c>
      <c r="V168" s="20">
        <f>IF(A168="","",IFERROR(VALUE(MID(A168,4,4)),0))</f>
        <v/>
      </c>
      <c r="W168" s="20">
        <f>IFERROR(MATCH(C168,Departments!$B$2:$B$13,0),"")</f>
        <v/>
      </c>
    </row>
    <row r="169">
      <c r="A169" s="14" t="n"/>
      <c r="B169" s="14" t="n"/>
      <c r="C169" s="14" t="n"/>
      <c r="D169" s="14" t="n"/>
      <c r="E169" s="14" t="n"/>
      <c r="F169" s="14" t="n"/>
      <c r="G169" s="15" t="n"/>
      <c r="H169" s="16" t="n"/>
      <c r="I169" s="17" t="n"/>
      <c r="J169" s="14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8">
        <f>IF(A169="","",COUNTIF(M169:R169,"Full")*2+COUNTIF(M169:R169,"AM")+COUNTIF(M169:R169,"PM"))</f>
        <v/>
      </c>
      <c r="T169" s="19">
        <f>IF(A169="","",IF(COUNTIF($A$2:$A$200,A169)&gt;1,"Duplicate Staff ID",IF(COUNTA(B169:I169)+COUNTA(K169:L169)&lt;10,"Fill in all details",IF($W169="","Pick a department",IF(COUNTIF(M169:R169,"Off")=6,"No OPD days set",IF((M169&lt;&gt;"Off")*(INDEX(Departments!$D$2:$D$13,$W169)="Closed")+(N169&lt;&gt;"Off")*(INDEX(Departments!$E$2:$E$13,$W169)="Closed")+(O169&lt;&gt;"Off")*(INDEX(Departments!$F$2:$F$13,$W169)="Closed")+(P169&lt;&gt;"Off")*(INDEX(Departments!$G$2:$G$13,$W169)="Closed")+(Q169&lt;&gt;"Off")*(INDEX(Departments!$H$2:$H$13,$W169)="Closed")+(R169&lt;&gt;"Off")*(INDEX(Departments!$I$2:$I$13,$W169)="Closed")&gt;0,"Note: works on a closed OPD day","OK"))))))</f>
        <v/>
      </c>
      <c r="U169" s="20">
        <f>C169&amp;"|"&amp;E169</f>
        <v/>
      </c>
      <c r="V169" s="20">
        <f>IF(A169="","",IFERROR(VALUE(MID(A169,4,4)),0))</f>
        <v/>
      </c>
      <c r="W169" s="20">
        <f>IFERROR(MATCH(C169,Departments!$B$2:$B$13,0),"")</f>
        <v/>
      </c>
    </row>
    <row r="170">
      <c r="A170" s="14" t="n"/>
      <c r="B170" s="14" t="n"/>
      <c r="C170" s="14" t="n"/>
      <c r="D170" s="14" t="n"/>
      <c r="E170" s="14" t="n"/>
      <c r="F170" s="14" t="n"/>
      <c r="G170" s="15" t="n"/>
      <c r="H170" s="16" t="n"/>
      <c r="I170" s="17" t="n"/>
      <c r="J170" s="14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8">
        <f>IF(A170="","",COUNTIF(M170:R170,"Full")*2+COUNTIF(M170:R170,"AM")+COUNTIF(M170:R170,"PM"))</f>
        <v/>
      </c>
      <c r="T170" s="19">
        <f>IF(A170="","",IF(COUNTIF($A$2:$A$200,A170)&gt;1,"Duplicate Staff ID",IF(COUNTA(B170:I170)+COUNTA(K170:L170)&lt;10,"Fill in all details",IF($W170="","Pick a department",IF(COUNTIF(M170:R170,"Off")=6,"No OPD days set",IF((M170&lt;&gt;"Off")*(INDEX(Departments!$D$2:$D$13,$W170)="Closed")+(N170&lt;&gt;"Off")*(INDEX(Departments!$E$2:$E$13,$W170)="Closed")+(O170&lt;&gt;"Off")*(INDEX(Departments!$F$2:$F$13,$W170)="Closed")+(P170&lt;&gt;"Off")*(INDEX(Departments!$G$2:$G$13,$W170)="Closed")+(Q170&lt;&gt;"Off")*(INDEX(Departments!$H$2:$H$13,$W170)="Closed")+(R170&lt;&gt;"Off")*(INDEX(Departments!$I$2:$I$13,$W170)="Closed")&gt;0,"Note: works on a closed OPD day","OK"))))))</f>
        <v/>
      </c>
      <c r="U170" s="20">
        <f>C170&amp;"|"&amp;E170</f>
        <v/>
      </c>
      <c r="V170" s="20">
        <f>IF(A170="","",IFERROR(VALUE(MID(A170,4,4)),0))</f>
        <v/>
      </c>
      <c r="W170" s="20">
        <f>IFERROR(MATCH(C170,Departments!$B$2:$B$13,0),"")</f>
        <v/>
      </c>
    </row>
    <row r="171">
      <c r="A171" s="14" t="n"/>
      <c r="B171" s="14" t="n"/>
      <c r="C171" s="14" t="n"/>
      <c r="D171" s="14" t="n"/>
      <c r="E171" s="14" t="n"/>
      <c r="F171" s="14" t="n"/>
      <c r="G171" s="15" t="n"/>
      <c r="H171" s="16" t="n"/>
      <c r="I171" s="17" t="n"/>
      <c r="J171" s="14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8">
        <f>IF(A171="","",COUNTIF(M171:R171,"Full")*2+COUNTIF(M171:R171,"AM")+COUNTIF(M171:R171,"PM"))</f>
        <v/>
      </c>
      <c r="T171" s="19">
        <f>IF(A171="","",IF(COUNTIF($A$2:$A$200,A171)&gt;1,"Duplicate Staff ID",IF(COUNTA(B171:I171)+COUNTA(K171:L171)&lt;10,"Fill in all details",IF($W171="","Pick a department",IF(COUNTIF(M171:R171,"Off")=6,"No OPD days set",IF((M171&lt;&gt;"Off")*(INDEX(Departments!$D$2:$D$13,$W171)="Closed")+(N171&lt;&gt;"Off")*(INDEX(Departments!$E$2:$E$13,$W171)="Closed")+(O171&lt;&gt;"Off")*(INDEX(Departments!$F$2:$F$13,$W171)="Closed")+(P171&lt;&gt;"Off")*(INDEX(Departments!$G$2:$G$13,$W171)="Closed")+(Q171&lt;&gt;"Off")*(INDEX(Departments!$H$2:$H$13,$W171)="Closed")+(R171&lt;&gt;"Off")*(INDEX(Departments!$I$2:$I$13,$W171)="Closed")&gt;0,"Note: works on a closed OPD day","OK"))))))</f>
        <v/>
      </c>
      <c r="U171" s="20">
        <f>C171&amp;"|"&amp;E171</f>
        <v/>
      </c>
      <c r="V171" s="20">
        <f>IF(A171="","",IFERROR(VALUE(MID(A171,4,4)),0))</f>
        <v/>
      </c>
      <c r="W171" s="20">
        <f>IFERROR(MATCH(C171,Departments!$B$2:$B$13,0),"")</f>
        <v/>
      </c>
    </row>
    <row r="172">
      <c r="A172" s="14" t="n"/>
      <c r="B172" s="14" t="n"/>
      <c r="C172" s="14" t="n"/>
      <c r="D172" s="14" t="n"/>
      <c r="E172" s="14" t="n"/>
      <c r="F172" s="14" t="n"/>
      <c r="G172" s="15" t="n"/>
      <c r="H172" s="16" t="n"/>
      <c r="I172" s="17" t="n"/>
      <c r="J172" s="14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8">
        <f>IF(A172="","",COUNTIF(M172:R172,"Full")*2+COUNTIF(M172:R172,"AM")+COUNTIF(M172:R172,"PM"))</f>
        <v/>
      </c>
      <c r="T172" s="19">
        <f>IF(A172="","",IF(COUNTIF($A$2:$A$200,A172)&gt;1,"Duplicate Staff ID",IF(COUNTA(B172:I172)+COUNTA(K172:L172)&lt;10,"Fill in all details",IF($W172="","Pick a department",IF(COUNTIF(M172:R172,"Off")=6,"No OPD days set",IF((M172&lt;&gt;"Off")*(INDEX(Departments!$D$2:$D$13,$W172)="Closed")+(N172&lt;&gt;"Off")*(INDEX(Departments!$E$2:$E$13,$W172)="Closed")+(O172&lt;&gt;"Off")*(INDEX(Departments!$F$2:$F$13,$W172)="Closed")+(P172&lt;&gt;"Off")*(INDEX(Departments!$G$2:$G$13,$W172)="Closed")+(Q172&lt;&gt;"Off")*(INDEX(Departments!$H$2:$H$13,$W172)="Closed")+(R172&lt;&gt;"Off")*(INDEX(Departments!$I$2:$I$13,$W172)="Closed")&gt;0,"Note: works on a closed OPD day","OK"))))))</f>
        <v/>
      </c>
      <c r="U172" s="20">
        <f>C172&amp;"|"&amp;E172</f>
        <v/>
      </c>
      <c r="V172" s="20">
        <f>IF(A172="","",IFERROR(VALUE(MID(A172,4,4)),0))</f>
        <v/>
      </c>
      <c r="W172" s="20">
        <f>IFERROR(MATCH(C172,Departments!$B$2:$B$13,0),"")</f>
        <v/>
      </c>
    </row>
    <row r="173">
      <c r="A173" s="14" t="n"/>
      <c r="B173" s="14" t="n"/>
      <c r="C173" s="14" t="n"/>
      <c r="D173" s="14" t="n"/>
      <c r="E173" s="14" t="n"/>
      <c r="F173" s="14" t="n"/>
      <c r="G173" s="15" t="n"/>
      <c r="H173" s="16" t="n"/>
      <c r="I173" s="17" t="n"/>
      <c r="J173" s="14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8">
        <f>IF(A173="","",COUNTIF(M173:R173,"Full")*2+COUNTIF(M173:R173,"AM")+COUNTIF(M173:R173,"PM"))</f>
        <v/>
      </c>
      <c r="T173" s="19">
        <f>IF(A173="","",IF(COUNTIF($A$2:$A$200,A173)&gt;1,"Duplicate Staff ID",IF(COUNTA(B173:I173)+COUNTA(K173:L173)&lt;10,"Fill in all details",IF($W173="","Pick a department",IF(COUNTIF(M173:R173,"Off")=6,"No OPD days set",IF((M173&lt;&gt;"Off")*(INDEX(Departments!$D$2:$D$13,$W173)="Closed")+(N173&lt;&gt;"Off")*(INDEX(Departments!$E$2:$E$13,$W173)="Closed")+(O173&lt;&gt;"Off")*(INDEX(Departments!$F$2:$F$13,$W173)="Closed")+(P173&lt;&gt;"Off")*(INDEX(Departments!$G$2:$G$13,$W173)="Closed")+(Q173&lt;&gt;"Off")*(INDEX(Departments!$H$2:$H$13,$W173)="Closed")+(R173&lt;&gt;"Off")*(INDEX(Departments!$I$2:$I$13,$W173)="Closed")&gt;0,"Note: works on a closed OPD day","OK"))))))</f>
        <v/>
      </c>
      <c r="U173" s="20">
        <f>C173&amp;"|"&amp;E173</f>
        <v/>
      </c>
      <c r="V173" s="20">
        <f>IF(A173="","",IFERROR(VALUE(MID(A173,4,4)),0))</f>
        <v/>
      </c>
      <c r="W173" s="20">
        <f>IFERROR(MATCH(C173,Departments!$B$2:$B$13,0),"")</f>
        <v/>
      </c>
    </row>
    <row r="174">
      <c r="A174" s="14" t="n"/>
      <c r="B174" s="14" t="n"/>
      <c r="C174" s="14" t="n"/>
      <c r="D174" s="14" t="n"/>
      <c r="E174" s="14" t="n"/>
      <c r="F174" s="14" t="n"/>
      <c r="G174" s="15" t="n"/>
      <c r="H174" s="16" t="n"/>
      <c r="I174" s="17" t="n"/>
      <c r="J174" s="14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8">
        <f>IF(A174="","",COUNTIF(M174:R174,"Full")*2+COUNTIF(M174:R174,"AM")+COUNTIF(M174:R174,"PM"))</f>
        <v/>
      </c>
      <c r="T174" s="19">
        <f>IF(A174="","",IF(COUNTIF($A$2:$A$200,A174)&gt;1,"Duplicate Staff ID",IF(COUNTA(B174:I174)+COUNTA(K174:L174)&lt;10,"Fill in all details",IF($W174="","Pick a department",IF(COUNTIF(M174:R174,"Off")=6,"No OPD days set",IF((M174&lt;&gt;"Off")*(INDEX(Departments!$D$2:$D$13,$W174)="Closed")+(N174&lt;&gt;"Off")*(INDEX(Departments!$E$2:$E$13,$W174)="Closed")+(O174&lt;&gt;"Off")*(INDEX(Departments!$F$2:$F$13,$W174)="Closed")+(P174&lt;&gt;"Off")*(INDEX(Departments!$G$2:$G$13,$W174)="Closed")+(Q174&lt;&gt;"Off")*(INDEX(Departments!$H$2:$H$13,$W174)="Closed")+(R174&lt;&gt;"Off")*(INDEX(Departments!$I$2:$I$13,$W174)="Closed")&gt;0,"Note: works on a closed OPD day","OK"))))))</f>
        <v/>
      </c>
      <c r="U174" s="20">
        <f>C174&amp;"|"&amp;E174</f>
        <v/>
      </c>
      <c r="V174" s="20">
        <f>IF(A174="","",IFERROR(VALUE(MID(A174,4,4)),0))</f>
        <v/>
      </c>
      <c r="W174" s="20">
        <f>IFERROR(MATCH(C174,Departments!$B$2:$B$13,0),"")</f>
        <v/>
      </c>
    </row>
    <row r="175">
      <c r="A175" s="14" t="n"/>
      <c r="B175" s="14" t="n"/>
      <c r="C175" s="14" t="n"/>
      <c r="D175" s="14" t="n"/>
      <c r="E175" s="14" t="n"/>
      <c r="F175" s="14" t="n"/>
      <c r="G175" s="15" t="n"/>
      <c r="H175" s="16" t="n"/>
      <c r="I175" s="17" t="n"/>
      <c r="J175" s="14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8">
        <f>IF(A175="","",COUNTIF(M175:R175,"Full")*2+COUNTIF(M175:R175,"AM")+COUNTIF(M175:R175,"PM"))</f>
        <v/>
      </c>
      <c r="T175" s="19">
        <f>IF(A175="","",IF(COUNTIF($A$2:$A$200,A175)&gt;1,"Duplicate Staff ID",IF(COUNTA(B175:I175)+COUNTA(K175:L175)&lt;10,"Fill in all details",IF($W175="","Pick a department",IF(COUNTIF(M175:R175,"Off")=6,"No OPD days set",IF((M175&lt;&gt;"Off")*(INDEX(Departments!$D$2:$D$13,$W175)="Closed")+(N175&lt;&gt;"Off")*(INDEX(Departments!$E$2:$E$13,$W175)="Closed")+(O175&lt;&gt;"Off")*(INDEX(Departments!$F$2:$F$13,$W175)="Closed")+(P175&lt;&gt;"Off")*(INDEX(Departments!$G$2:$G$13,$W175)="Closed")+(Q175&lt;&gt;"Off")*(INDEX(Departments!$H$2:$H$13,$W175)="Closed")+(R175&lt;&gt;"Off")*(INDEX(Departments!$I$2:$I$13,$W175)="Closed")&gt;0,"Note: works on a closed OPD day","OK"))))))</f>
        <v/>
      </c>
      <c r="U175" s="20">
        <f>C175&amp;"|"&amp;E175</f>
        <v/>
      </c>
      <c r="V175" s="20">
        <f>IF(A175="","",IFERROR(VALUE(MID(A175,4,4)),0))</f>
        <v/>
      </c>
      <c r="W175" s="20">
        <f>IFERROR(MATCH(C175,Departments!$B$2:$B$13,0),"")</f>
        <v/>
      </c>
    </row>
    <row r="176">
      <c r="A176" s="14" t="n"/>
      <c r="B176" s="14" t="n"/>
      <c r="C176" s="14" t="n"/>
      <c r="D176" s="14" t="n"/>
      <c r="E176" s="14" t="n"/>
      <c r="F176" s="14" t="n"/>
      <c r="G176" s="15" t="n"/>
      <c r="H176" s="16" t="n"/>
      <c r="I176" s="17" t="n"/>
      <c r="J176" s="14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8">
        <f>IF(A176="","",COUNTIF(M176:R176,"Full")*2+COUNTIF(M176:R176,"AM")+COUNTIF(M176:R176,"PM"))</f>
        <v/>
      </c>
      <c r="T176" s="19">
        <f>IF(A176="","",IF(COUNTIF($A$2:$A$200,A176)&gt;1,"Duplicate Staff ID",IF(COUNTA(B176:I176)+COUNTA(K176:L176)&lt;10,"Fill in all details",IF($W176="","Pick a department",IF(COUNTIF(M176:R176,"Off")=6,"No OPD days set",IF((M176&lt;&gt;"Off")*(INDEX(Departments!$D$2:$D$13,$W176)="Closed")+(N176&lt;&gt;"Off")*(INDEX(Departments!$E$2:$E$13,$W176)="Closed")+(O176&lt;&gt;"Off")*(INDEX(Departments!$F$2:$F$13,$W176)="Closed")+(P176&lt;&gt;"Off")*(INDEX(Departments!$G$2:$G$13,$W176)="Closed")+(Q176&lt;&gt;"Off")*(INDEX(Departments!$H$2:$H$13,$W176)="Closed")+(R176&lt;&gt;"Off")*(INDEX(Departments!$I$2:$I$13,$W176)="Closed")&gt;0,"Note: works on a closed OPD day","OK"))))))</f>
        <v/>
      </c>
      <c r="U176" s="20">
        <f>C176&amp;"|"&amp;E176</f>
        <v/>
      </c>
      <c r="V176" s="20">
        <f>IF(A176="","",IFERROR(VALUE(MID(A176,4,4)),0))</f>
        <v/>
      </c>
      <c r="W176" s="20">
        <f>IFERROR(MATCH(C176,Departments!$B$2:$B$13,0),"")</f>
        <v/>
      </c>
    </row>
    <row r="177">
      <c r="A177" s="14" t="n"/>
      <c r="B177" s="14" t="n"/>
      <c r="C177" s="14" t="n"/>
      <c r="D177" s="14" t="n"/>
      <c r="E177" s="14" t="n"/>
      <c r="F177" s="14" t="n"/>
      <c r="G177" s="15" t="n"/>
      <c r="H177" s="16" t="n"/>
      <c r="I177" s="17" t="n"/>
      <c r="J177" s="14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8">
        <f>IF(A177="","",COUNTIF(M177:R177,"Full")*2+COUNTIF(M177:R177,"AM")+COUNTIF(M177:R177,"PM"))</f>
        <v/>
      </c>
      <c r="T177" s="19">
        <f>IF(A177="","",IF(COUNTIF($A$2:$A$200,A177)&gt;1,"Duplicate Staff ID",IF(COUNTA(B177:I177)+COUNTA(K177:L177)&lt;10,"Fill in all details",IF($W177="","Pick a department",IF(COUNTIF(M177:R177,"Off")=6,"No OPD days set",IF((M177&lt;&gt;"Off")*(INDEX(Departments!$D$2:$D$13,$W177)="Closed")+(N177&lt;&gt;"Off")*(INDEX(Departments!$E$2:$E$13,$W177)="Closed")+(O177&lt;&gt;"Off")*(INDEX(Departments!$F$2:$F$13,$W177)="Closed")+(P177&lt;&gt;"Off")*(INDEX(Departments!$G$2:$G$13,$W177)="Closed")+(Q177&lt;&gt;"Off")*(INDEX(Departments!$H$2:$H$13,$W177)="Closed")+(R177&lt;&gt;"Off")*(INDEX(Departments!$I$2:$I$13,$W177)="Closed")&gt;0,"Note: works on a closed OPD day","OK"))))))</f>
        <v/>
      </c>
      <c r="U177" s="20">
        <f>C177&amp;"|"&amp;E177</f>
        <v/>
      </c>
      <c r="V177" s="20">
        <f>IF(A177="","",IFERROR(VALUE(MID(A177,4,4)),0))</f>
        <v/>
      </c>
      <c r="W177" s="20">
        <f>IFERROR(MATCH(C177,Departments!$B$2:$B$13,0),"")</f>
        <v/>
      </c>
    </row>
    <row r="178">
      <c r="A178" s="14" t="n"/>
      <c r="B178" s="14" t="n"/>
      <c r="C178" s="14" t="n"/>
      <c r="D178" s="14" t="n"/>
      <c r="E178" s="14" t="n"/>
      <c r="F178" s="14" t="n"/>
      <c r="G178" s="15" t="n"/>
      <c r="H178" s="16" t="n"/>
      <c r="I178" s="17" t="n"/>
      <c r="J178" s="14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8">
        <f>IF(A178="","",COUNTIF(M178:R178,"Full")*2+COUNTIF(M178:R178,"AM")+COUNTIF(M178:R178,"PM"))</f>
        <v/>
      </c>
      <c r="T178" s="19">
        <f>IF(A178="","",IF(COUNTIF($A$2:$A$200,A178)&gt;1,"Duplicate Staff ID",IF(COUNTA(B178:I178)+COUNTA(K178:L178)&lt;10,"Fill in all details",IF($W178="","Pick a department",IF(COUNTIF(M178:R178,"Off")=6,"No OPD days set",IF((M178&lt;&gt;"Off")*(INDEX(Departments!$D$2:$D$13,$W178)="Closed")+(N178&lt;&gt;"Off")*(INDEX(Departments!$E$2:$E$13,$W178)="Closed")+(O178&lt;&gt;"Off")*(INDEX(Departments!$F$2:$F$13,$W178)="Closed")+(P178&lt;&gt;"Off")*(INDEX(Departments!$G$2:$G$13,$W178)="Closed")+(Q178&lt;&gt;"Off")*(INDEX(Departments!$H$2:$H$13,$W178)="Closed")+(R178&lt;&gt;"Off")*(INDEX(Departments!$I$2:$I$13,$W178)="Closed")&gt;0,"Note: works on a closed OPD day","OK"))))))</f>
        <v/>
      </c>
      <c r="U178" s="20">
        <f>C178&amp;"|"&amp;E178</f>
        <v/>
      </c>
      <c r="V178" s="20">
        <f>IF(A178="","",IFERROR(VALUE(MID(A178,4,4)),0))</f>
        <v/>
      </c>
      <c r="W178" s="20">
        <f>IFERROR(MATCH(C178,Departments!$B$2:$B$13,0),"")</f>
        <v/>
      </c>
    </row>
    <row r="179">
      <c r="A179" s="14" t="n"/>
      <c r="B179" s="14" t="n"/>
      <c r="C179" s="14" t="n"/>
      <c r="D179" s="14" t="n"/>
      <c r="E179" s="14" t="n"/>
      <c r="F179" s="14" t="n"/>
      <c r="G179" s="15" t="n"/>
      <c r="H179" s="16" t="n"/>
      <c r="I179" s="17" t="n"/>
      <c r="J179" s="14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8">
        <f>IF(A179="","",COUNTIF(M179:R179,"Full")*2+COUNTIF(M179:R179,"AM")+COUNTIF(M179:R179,"PM"))</f>
        <v/>
      </c>
      <c r="T179" s="19">
        <f>IF(A179="","",IF(COUNTIF($A$2:$A$200,A179)&gt;1,"Duplicate Staff ID",IF(COUNTA(B179:I179)+COUNTA(K179:L179)&lt;10,"Fill in all details",IF($W179="","Pick a department",IF(COUNTIF(M179:R179,"Off")=6,"No OPD days set",IF((M179&lt;&gt;"Off")*(INDEX(Departments!$D$2:$D$13,$W179)="Closed")+(N179&lt;&gt;"Off")*(INDEX(Departments!$E$2:$E$13,$W179)="Closed")+(O179&lt;&gt;"Off")*(INDEX(Departments!$F$2:$F$13,$W179)="Closed")+(P179&lt;&gt;"Off")*(INDEX(Departments!$G$2:$G$13,$W179)="Closed")+(Q179&lt;&gt;"Off")*(INDEX(Departments!$H$2:$H$13,$W179)="Closed")+(R179&lt;&gt;"Off")*(INDEX(Departments!$I$2:$I$13,$W179)="Closed")&gt;0,"Note: works on a closed OPD day","OK"))))))</f>
        <v/>
      </c>
      <c r="U179" s="20">
        <f>C179&amp;"|"&amp;E179</f>
        <v/>
      </c>
      <c r="V179" s="20">
        <f>IF(A179="","",IFERROR(VALUE(MID(A179,4,4)),0))</f>
        <v/>
      </c>
      <c r="W179" s="20">
        <f>IFERROR(MATCH(C179,Departments!$B$2:$B$13,0),"")</f>
        <v/>
      </c>
    </row>
    <row r="180">
      <c r="A180" s="14" t="n"/>
      <c r="B180" s="14" t="n"/>
      <c r="C180" s="14" t="n"/>
      <c r="D180" s="14" t="n"/>
      <c r="E180" s="14" t="n"/>
      <c r="F180" s="14" t="n"/>
      <c r="G180" s="15" t="n"/>
      <c r="H180" s="16" t="n"/>
      <c r="I180" s="17" t="n"/>
      <c r="J180" s="14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8">
        <f>IF(A180="","",COUNTIF(M180:R180,"Full")*2+COUNTIF(M180:R180,"AM")+COUNTIF(M180:R180,"PM"))</f>
        <v/>
      </c>
      <c r="T180" s="19">
        <f>IF(A180="","",IF(COUNTIF($A$2:$A$200,A180)&gt;1,"Duplicate Staff ID",IF(COUNTA(B180:I180)+COUNTA(K180:L180)&lt;10,"Fill in all details",IF($W180="","Pick a department",IF(COUNTIF(M180:R180,"Off")=6,"No OPD days set",IF((M180&lt;&gt;"Off")*(INDEX(Departments!$D$2:$D$13,$W180)="Closed")+(N180&lt;&gt;"Off")*(INDEX(Departments!$E$2:$E$13,$W180)="Closed")+(O180&lt;&gt;"Off")*(INDEX(Departments!$F$2:$F$13,$W180)="Closed")+(P180&lt;&gt;"Off")*(INDEX(Departments!$G$2:$G$13,$W180)="Closed")+(Q180&lt;&gt;"Off")*(INDEX(Departments!$H$2:$H$13,$W180)="Closed")+(R180&lt;&gt;"Off")*(INDEX(Departments!$I$2:$I$13,$W180)="Closed")&gt;0,"Note: works on a closed OPD day","OK"))))))</f>
        <v/>
      </c>
      <c r="U180" s="20">
        <f>C180&amp;"|"&amp;E180</f>
        <v/>
      </c>
      <c r="V180" s="20">
        <f>IF(A180="","",IFERROR(VALUE(MID(A180,4,4)),0))</f>
        <v/>
      </c>
      <c r="W180" s="20">
        <f>IFERROR(MATCH(C180,Departments!$B$2:$B$13,0),"")</f>
        <v/>
      </c>
    </row>
    <row r="181">
      <c r="A181" s="14" t="n"/>
      <c r="B181" s="14" t="n"/>
      <c r="C181" s="14" t="n"/>
      <c r="D181" s="14" t="n"/>
      <c r="E181" s="14" t="n"/>
      <c r="F181" s="14" t="n"/>
      <c r="G181" s="15" t="n"/>
      <c r="H181" s="16" t="n"/>
      <c r="I181" s="17" t="n"/>
      <c r="J181" s="14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8">
        <f>IF(A181="","",COUNTIF(M181:R181,"Full")*2+COUNTIF(M181:R181,"AM")+COUNTIF(M181:R181,"PM"))</f>
        <v/>
      </c>
      <c r="T181" s="19">
        <f>IF(A181="","",IF(COUNTIF($A$2:$A$200,A181)&gt;1,"Duplicate Staff ID",IF(COUNTA(B181:I181)+COUNTA(K181:L181)&lt;10,"Fill in all details",IF($W181="","Pick a department",IF(COUNTIF(M181:R181,"Off")=6,"No OPD days set",IF((M181&lt;&gt;"Off")*(INDEX(Departments!$D$2:$D$13,$W181)="Closed")+(N181&lt;&gt;"Off")*(INDEX(Departments!$E$2:$E$13,$W181)="Closed")+(O181&lt;&gt;"Off")*(INDEX(Departments!$F$2:$F$13,$W181)="Closed")+(P181&lt;&gt;"Off")*(INDEX(Departments!$G$2:$G$13,$W181)="Closed")+(Q181&lt;&gt;"Off")*(INDEX(Departments!$H$2:$H$13,$W181)="Closed")+(R181&lt;&gt;"Off")*(INDEX(Departments!$I$2:$I$13,$W181)="Closed")&gt;0,"Note: works on a closed OPD day","OK"))))))</f>
        <v/>
      </c>
      <c r="U181" s="20">
        <f>C181&amp;"|"&amp;E181</f>
        <v/>
      </c>
      <c r="V181" s="20">
        <f>IF(A181="","",IFERROR(VALUE(MID(A181,4,4)),0))</f>
        <v/>
      </c>
      <c r="W181" s="20">
        <f>IFERROR(MATCH(C181,Departments!$B$2:$B$13,0),"")</f>
        <v/>
      </c>
    </row>
    <row r="182">
      <c r="A182" s="14" t="n"/>
      <c r="B182" s="14" t="n"/>
      <c r="C182" s="14" t="n"/>
      <c r="D182" s="14" t="n"/>
      <c r="E182" s="14" t="n"/>
      <c r="F182" s="14" t="n"/>
      <c r="G182" s="15" t="n"/>
      <c r="H182" s="16" t="n"/>
      <c r="I182" s="17" t="n"/>
      <c r="J182" s="14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8">
        <f>IF(A182="","",COUNTIF(M182:R182,"Full")*2+COUNTIF(M182:R182,"AM")+COUNTIF(M182:R182,"PM"))</f>
        <v/>
      </c>
      <c r="T182" s="19">
        <f>IF(A182="","",IF(COUNTIF($A$2:$A$200,A182)&gt;1,"Duplicate Staff ID",IF(COUNTA(B182:I182)+COUNTA(K182:L182)&lt;10,"Fill in all details",IF($W182="","Pick a department",IF(COUNTIF(M182:R182,"Off")=6,"No OPD days set",IF((M182&lt;&gt;"Off")*(INDEX(Departments!$D$2:$D$13,$W182)="Closed")+(N182&lt;&gt;"Off")*(INDEX(Departments!$E$2:$E$13,$W182)="Closed")+(O182&lt;&gt;"Off")*(INDEX(Departments!$F$2:$F$13,$W182)="Closed")+(P182&lt;&gt;"Off")*(INDEX(Departments!$G$2:$G$13,$W182)="Closed")+(Q182&lt;&gt;"Off")*(INDEX(Departments!$H$2:$H$13,$W182)="Closed")+(R182&lt;&gt;"Off")*(INDEX(Departments!$I$2:$I$13,$W182)="Closed")&gt;0,"Note: works on a closed OPD day","OK"))))))</f>
        <v/>
      </c>
      <c r="U182" s="20">
        <f>C182&amp;"|"&amp;E182</f>
        <v/>
      </c>
      <c r="V182" s="20">
        <f>IF(A182="","",IFERROR(VALUE(MID(A182,4,4)),0))</f>
        <v/>
      </c>
      <c r="W182" s="20">
        <f>IFERROR(MATCH(C182,Departments!$B$2:$B$13,0),"")</f>
        <v/>
      </c>
    </row>
    <row r="183">
      <c r="A183" s="14" t="n"/>
      <c r="B183" s="14" t="n"/>
      <c r="C183" s="14" t="n"/>
      <c r="D183" s="14" t="n"/>
      <c r="E183" s="14" t="n"/>
      <c r="F183" s="14" t="n"/>
      <c r="G183" s="15" t="n"/>
      <c r="H183" s="16" t="n"/>
      <c r="I183" s="17" t="n"/>
      <c r="J183" s="14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8">
        <f>IF(A183="","",COUNTIF(M183:R183,"Full")*2+COUNTIF(M183:R183,"AM")+COUNTIF(M183:R183,"PM"))</f>
        <v/>
      </c>
      <c r="T183" s="19">
        <f>IF(A183="","",IF(COUNTIF($A$2:$A$200,A183)&gt;1,"Duplicate Staff ID",IF(COUNTA(B183:I183)+COUNTA(K183:L183)&lt;10,"Fill in all details",IF($W183="","Pick a department",IF(COUNTIF(M183:R183,"Off")=6,"No OPD days set",IF((M183&lt;&gt;"Off")*(INDEX(Departments!$D$2:$D$13,$W183)="Closed")+(N183&lt;&gt;"Off")*(INDEX(Departments!$E$2:$E$13,$W183)="Closed")+(O183&lt;&gt;"Off")*(INDEX(Departments!$F$2:$F$13,$W183)="Closed")+(P183&lt;&gt;"Off")*(INDEX(Departments!$G$2:$G$13,$W183)="Closed")+(Q183&lt;&gt;"Off")*(INDEX(Departments!$H$2:$H$13,$W183)="Closed")+(R183&lt;&gt;"Off")*(INDEX(Departments!$I$2:$I$13,$W183)="Closed")&gt;0,"Note: works on a closed OPD day","OK"))))))</f>
        <v/>
      </c>
      <c r="U183" s="20">
        <f>C183&amp;"|"&amp;E183</f>
        <v/>
      </c>
      <c r="V183" s="20">
        <f>IF(A183="","",IFERROR(VALUE(MID(A183,4,4)),0))</f>
        <v/>
      </c>
      <c r="W183" s="20">
        <f>IFERROR(MATCH(C183,Departments!$B$2:$B$13,0),"")</f>
        <v/>
      </c>
    </row>
    <row r="184">
      <c r="A184" s="14" t="n"/>
      <c r="B184" s="14" t="n"/>
      <c r="C184" s="14" t="n"/>
      <c r="D184" s="14" t="n"/>
      <c r="E184" s="14" t="n"/>
      <c r="F184" s="14" t="n"/>
      <c r="G184" s="15" t="n"/>
      <c r="H184" s="16" t="n"/>
      <c r="I184" s="17" t="n"/>
      <c r="J184" s="14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8">
        <f>IF(A184="","",COUNTIF(M184:R184,"Full")*2+COUNTIF(M184:R184,"AM")+COUNTIF(M184:R184,"PM"))</f>
        <v/>
      </c>
      <c r="T184" s="19">
        <f>IF(A184="","",IF(COUNTIF($A$2:$A$200,A184)&gt;1,"Duplicate Staff ID",IF(COUNTA(B184:I184)+COUNTA(K184:L184)&lt;10,"Fill in all details",IF($W184="","Pick a department",IF(COUNTIF(M184:R184,"Off")=6,"No OPD days set",IF((M184&lt;&gt;"Off")*(INDEX(Departments!$D$2:$D$13,$W184)="Closed")+(N184&lt;&gt;"Off")*(INDEX(Departments!$E$2:$E$13,$W184)="Closed")+(O184&lt;&gt;"Off")*(INDEX(Departments!$F$2:$F$13,$W184)="Closed")+(P184&lt;&gt;"Off")*(INDEX(Departments!$G$2:$G$13,$W184)="Closed")+(Q184&lt;&gt;"Off")*(INDEX(Departments!$H$2:$H$13,$W184)="Closed")+(R184&lt;&gt;"Off")*(INDEX(Departments!$I$2:$I$13,$W184)="Closed")&gt;0,"Note: works on a closed OPD day","OK"))))))</f>
        <v/>
      </c>
      <c r="U184" s="20">
        <f>C184&amp;"|"&amp;E184</f>
        <v/>
      </c>
      <c r="V184" s="20">
        <f>IF(A184="","",IFERROR(VALUE(MID(A184,4,4)),0))</f>
        <v/>
      </c>
      <c r="W184" s="20">
        <f>IFERROR(MATCH(C184,Departments!$B$2:$B$13,0),"")</f>
        <v/>
      </c>
    </row>
    <row r="185">
      <c r="A185" s="14" t="n"/>
      <c r="B185" s="14" t="n"/>
      <c r="C185" s="14" t="n"/>
      <c r="D185" s="14" t="n"/>
      <c r="E185" s="14" t="n"/>
      <c r="F185" s="14" t="n"/>
      <c r="G185" s="15" t="n"/>
      <c r="H185" s="16" t="n"/>
      <c r="I185" s="17" t="n"/>
      <c r="J185" s="14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8">
        <f>IF(A185="","",COUNTIF(M185:R185,"Full")*2+COUNTIF(M185:R185,"AM")+COUNTIF(M185:R185,"PM"))</f>
        <v/>
      </c>
      <c r="T185" s="19">
        <f>IF(A185="","",IF(COUNTIF($A$2:$A$200,A185)&gt;1,"Duplicate Staff ID",IF(COUNTA(B185:I185)+COUNTA(K185:L185)&lt;10,"Fill in all details",IF($W185="","Pick a department",IF(COUNTIF(M185:R185,"Off")=6,"No OPD days set",IF((M185&lt;&gt;"Off")*(INDEX(Departments!$D$2:$D$13,$W185)="Closed")+(N185&lt;&gt;"Off")*(INDEX(Departments!$E$2:$E$13,$W185)="Closed")+(O185&lt;&gt;"Off")*(INDEX(Departments!$F$2:$F$13,$W185)="Closed")+(P185&lt;&gt;"Off")*(INDEX(Departments!$G$2:$G$13,$W185)="Closed")+(Q185&lt;&gt;"Off")*(INDEX(Departments!$H$2:$H$13,$W185)="Closed")+(R185&lt;&gt;"Off")*(INDEX(Departments!$I$2:$I$13,$W185)="Closed")&gt;0,"Note: works on a closed OPD day","OK"))))))</f>
        <v/>
      </c>
      <c r="U185" s="20">
        <f>C185&amp;"|"&amp;E185</f>
        <v/>
      </c>
      <c r="V185" s="20">
        <f>IF(A185="","",IFERROR(VALUE(MID(A185,4,4)),0))</f>
        <v/>
      </c>
      <c r="W185" s="20">
        <f>IFERROR(MATCH(C185,Departments!$B$2:$B$13,0),"")</f>
        <v/>
      </c>
    </row>
    <row r="186">
      <c r="A186" s="14" t="n"/>
      <c r="B186" s="14" t="n"/>
      <c r="C186" s="14" t="n"/>
      <c r="D186" s="14" t="n"/>
      <c r="E186" s="14" t="n"/>
      <c r="F186" s="14" t="n"/>
      <c r="G186" s="15" t="n"/>
      <c r="H186" s="16" t="n"/>
      <c r="I186" s="17" t="n"/>
      <c r="J186" s="14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8">
        <f>IF(A186="","",COUNTIF(M186:R186,"Full")*2+COUNTIF(M186:R186,"AM")+COUNTIF(M186:R186,"PM"))</f>
        <v/>
      </c>
      <c r="T186" s="19">
        <f>IF(A186="","",IF(COUNTIF($A$2:$A$200,A186)&gt;1,"Duplicate Staff ID",IF(COUNTA(B186:I186)+COUNTA(K186:L186)&lt;10,"Fill in all details",IF($W186="","Pick a department",IF(COUNTIF(M186:R186,"Off")=6,"No OPD days set",IF((M186&lt;&gt;"Off")*(INDEX(Departments!$D$2:$D$13,$W186)="Closed")+(N186&lt;&gt;"Off")*(INDEX(Departments!$E$2:$E$13,$W186)="Closed")+(O186&lt;&gt;"Off")*(INDEX(Departments!$F$2:$F$13,$W186)="Closed")+(P186&lt;&gt;"Off")*(INDEX(Departments!$G$2:$G$13,$W186)="Closed")+(Q186&lt;&gt;"Off")*(INDEX(Departments!$H$2:$H$13,$W186)="Closed")+(R186&lt;&gt;"Off")*(INDEX(Departments!$I$2:$I$13,$W186)="Closed")&gt;0,"Note: works on a closed OPD day","OK"))))))</f>
        <v/>
      </c>
      <c r="U186" s="20">
        <f>C186&amp;"|"&amp;E186</f>
        <v/>
      </c>
      <c r="V186" s="20">
        <f>IF(A186="","",IFERROR(VALUE(MID(A186,4,4)),0))</f>
        <v/>
      </c>
      <c r="W186" s="20">
        <f>IFERROR(MATCH(C186,Departments!$B$2:$B$13,0),"")</f>
        <v/>
      </c>
    </row>
    <row r="187">
      <c r="A187" s="14" t="n"/>
      <c r="B187" s="14" t="n"/>
      <c r="C187" s="14" t="n"/>
      <c r="D187" s="14" t="n"/>
      <c r="E187" s="14" t="n"/>
      <c r="F187" s="14" t="n"/>
      <c r="G187" s="15" t="n"/>
      <c r="H187" s="16" t="n"/>
      <c r="I187" s="17" t="n"/>
      <c r="J187" s="14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8">
        <f>IF(A187="","",COUNTIF(M187:R187,"Full")*2+COUNTIF(M187:R187,"AM")+COUNTIF(M187:R187,"PM"))</f>
        <v/>
      </c>
      <c r="T187" s="19">
        <f>IF(A187="","",IF(COUNTIF($A$2:$A$200,A187)&gt;1,"Duplicate Staff ID",IF(COUNTA(B187:I187)+COUNTA(K187:L187)&lt;10,"Fill in all details",IF($W187="","Pick a department",IF(COUNTIF(M187:R187,"Off")=6,"No OPD days set",IF((M187&lt;&gt;"Off")*(INDEX(Departments!$D$2:$D$13,$W187)="Closed")+(N187&lt;&gt;"Off")*(INDEX(Departments!$E$2:$E$13,$W187)="Closed")+(O187&lt;&gt;"Off")*(INDEX(Departments!$F$2:$F$13,$W187)="Closed")+(P187&lt;&gt;"Off")*(INDEX(Departments!$G$2:$G$13,$W187)="Closed")+(Q187&lt;&gt;"Off")*(INDEX(Departments!$H$2:$H$13,$W187)="Closed")+(R187&lt;&gt;"Off")*(INDEX(Departments!$I$2:$I$13,$W187)="Closed")&gt;0,"Note: works on a closed OPD day","OK"))))))</f>
        <v/>
      </c>
      <c r="U187" s="20">
        <f>C187&amp;"|"&amp;E187</f>
        <v/>
      </c>
      <c r="V187" s="20">
        <f>IF(A187="","",IFERROR(VALUE(MID(A187,4,4)),0))</f>
        <v/>
      </c>
      <c r="W187" s="20">
        <f>IFERROR(MATCH(C187,Departments!$B$2:$B$13,0),"")</f>
        <v/>
      </c>
    </row>
    <row r="188">
      <c r="A188" s="14" t="n"/>
      <c r="B188" s="14" t="n"/>
      <c r="C188" s="14" t="n"/>
      <c r="D188" s="14" t="n"/>
      <c r="E188" s="14" t="n"/>
      <c r="F188" s="14" t="n"/>
      <c r="G188" s="15" t="n"/>
      <c r="H188" s="16" t="n"/>
      <c r="I188" s="17" t="n"/>
      <c r="J188" s="14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8">
        <f>IF(A188="","",COUNTIF(M188:R188,"Full")*2+COUNTIF(M188:R188,"AM")+COUNTIF(M188:R188,"PM"))</f>
        <v/>
      </c>
      <c r="T188" s="19">
        <f>IF(A188="","",IF(COUNTIF($A$2:$A$200,A188)&gt;1,"Duplicate Staff ID",IF(COUNTA(B188:I188)+COUNTA(K188:L188)&lt;10,"Fill in all details",IF($W188="","Pick a department",IF(COUNTIF(M188:R188,"Off")=6,"No OPD days set",IF((M188&lt;&gt;"Off")*(INDEX(Departments!$D$2:$D$13,$W188)="Closed")+(N188&lt;&gt;"Off")*(INDEX(Departments!$E$2:$E$13,$W188)="Closed")+(O188&lt;&gt;"Off")*(INDEX(Departments!$F$2:$F$13,$W188)="Closed")+(P188&lt;&gt;"Off")*(INDEX(Departments!$G$2:$G$13,$W188)="Closed")+(Q188&lt;&gt;"Off")*(INDEX(Departments!$H$2:$H$13,$W188)="Closed")+(R188&lt;&gt;"Off")*(INDEX(Departments!$I$2:$I$13,$W188)="Closed")&gt;0,"Note: works on a closed OPD day","OK"))))))</f>
        <v/>
      </c>
      <c r="U188" s="20">
        <f>C188&amp;"|"&amp;E188</f>
        <v/>
      </c>
      <c r="V188" s="20">
        <f>IF(A188="","",IFERROR(VALUE(MID(A188,4,4)),0))</f>
        <v/>
      </c>
      <c r="W188" s="20">
        <f>IFERROR(MATCH(C188,Departments!$B$2:$B$13,0),"")</f>
        <v/>
      </c>
    </row>
    <row r="189">
      <c r="A189" s="14" t="n"/>
      <c r="B189" s="14" t="n"/>
      <c r="C189" s="14" t="n"/>
      <c r="D189" s="14" t="n"/>
      <c r="E189" s="14" t="n"/>
      <c r="F189" s="14" t="n"/>
      <c r="G189" s="15" t="n"/>
      <c r="H189" s="16" t="n"/>
      <c r="I189" s="17" t="n"/>
      <c r="J189" s="14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8">
        <f>IF(A189="","",COUNTIF(M189:R189,"Full")*2+COUNTIF(M189:R189,"AM")+COUNTIF(M189:R189,"PM"))</f>
        <v/>
      </c>
      <c r="T189" s="19">
        <f>IF(A189="","",IF(COUNTIF($A$2:$A$200,A189)&gt;1,"Duplicate Staff ID",IF(COUNTA(B189:I189)+COUNTA(K189:L189)&lt;10,"Fill in all details",IF($W189="","Pick a department",IF(COUNTIF(M189:R189,"Off")=6,"No OPD days set",IF((M189&lt;&gt;"Off")*(INDEX(Departments!$D$2:$D$13,$W189)="Closed")+(N189&lt;&gt;"Off")*(INDEX(Departments!$E$2:$E$13,$W189)="Closed")+(O189&lt;&gt;"Off")*(INDEX(Departments!$F$2:$F$13,$W189)="Closed")+(P189&lt;&gt;"Off")*(INDEX(Departments!$G$2:$G$13,$W189)="Closed")+(Q189&lt;&gt;"Off")*(INDEX(Departments!$H$2:$H$13,$W189)="Closed")+(R189&lt;&gt;"Off")*(INDEX(Departments!$I$2:$I$13,$W189)="Closed")&gt;0,"Note: works on a closed OPD day","OK"))))))</f>
        <v/>
      </c>
      <c r="U189" s="20">
        <f>C189&amp;"|"&amp;E189</f>
        <v/>
      </c>
      <c r="V189" s="20">
        <f>IF(A189="","",IFERROR(VALUE(MID(A189,4,4)),0))</f>
        <v/>
      </c>
      <c r="W189" s="20">
        <f>IFERROR(MATCH(C189,Departments!$B$2:$B$13,0),"")</f>
        <v/>
      </c>
    </row>
    <row r="190">
      <c r="A190" s="14" t="n"/>
      <c r="B190" s="14" t="n"/>
      <c r="C190" s="14" t="n"/>
      <c r="D190" s="14" t="n"/>
      <c r="E190" s="14" t="n"/>
      <c r="F190" s="14" t="n"/>
      <c r="G190" s="15" t="n"/>
      <c r="H190" s="16" t="n"/>
      <c r="I190" s="17" t="n"/>
      <c r="J190" s="14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8">
        <f>IF(A190="","",COUNTIF(M190:R190,"Full")*2+COUNTIF(M190:R190,"AM")+COUNTIF(M190:R190,"PM"))</f>
        <v/>
      </c>
      <c r="T190" s="19">
        <f>IF(A190="","",IF(COUNTIF($A$2:$A$200,A190)&gt;1,"Duplicate Staff ID",IF(COUNTA(B190:I190)+COUNTA(K190:L190)&lt;10,"Fill in all details",IF($W190="","Pick a department",IF(COUNTIF(M190:R190,"Off")=6,"No OPD days set",IF((M190&lt;&gt;"Off")*(INDEX(Departments!$D$2:$D$13,$W190)="Closed")+(N190&lt;&gt;"Off")*(INDEX(Departments!$E$2:$E$13,$W190)="Closed")+(O190&lt;&gt;"Off")*(INDEX(Departments!$F$2:$F$13,$W190)="Closed")+(P190&lt;&gt;"Off")*(INDEX(Departments!$G$2:$G$13,$W190)="Closed")+(Q190&lt;&gt;"Off")*(INDEX(Departments!$H$2:$H$13,$W190)="Closed")+(R190&lt;&gt;"Off")*(INDEX(Departments!$I$2:$I$13,$W190)="Closed")&gt;0,"Note: works on a closed OPD day","OK"))))))</f>
        <v/>
      </c>
      <c r="U190" s="20">
        <f>C190&amp;"|"&amp;E190</f>
        <v/>
      </c>
      <c r="V190" s="20">
        <f>IF(A190="","",IFERROR(VALUE(MID(A190,4,4)),0))</f>
        <v/>
      </c>
      <c r="W190" s="20">
        <f>IFERROR(MATCH(C190,Departments!$B$2:$B$13,0),"")</f>
        <v/>
      </c>
    </row>
    <row r="191">
      <c r="A191" s="14" t="n"/>
      <c r="B191" s="14" t="n"/>
      <c r="C191" s="14" t="n"/>
      <c r="D191" s="14" t="n"/>
      <c r="E191" s="14" t="n"/>
      <c r="F191" s="14" t="n"/>
      <c r="G191" s="15" t="n"/>
      <c r="H191" s="16" t="n"/>
      <c r="I191" s="17" t="n"/>
      <c r="J191" s="14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8">
        <f>IF(A191="","",COUNTIF(M191:R191,"Full")*2+COUNTIF(M191:R191,"AM")+COUNTIF(M191:R191,"PM"))</f>
        <v/>
      </c>
      <c r="T191" s="19">
        <f>IF(A191="","",IF(COUNTIF($A$2:$A$200,A191)&gt;1,"Duplicate Staff ID",IF(COUNTA(B191:I191)+COUNTA(K191:L191)&lt;10,"Fill in all details",IF($W191="","Pick a department",IF(COUNTIF(M191:R191,"Off")=6,"No OPD days set",IF((M191&lt;&gt;"Off")*(INDEX(Departments!$D$2:$D$13,$W191)="Closed")+(N191&lt;&gt;"Off")*(INDEX(Departments!$E$2:$E$13,$W191)="Closed")+(O191&lt;&gt;"Off")*(INDEX(Departments!$F$2:$F$13,$W191)="Closed")+(P191&lt;&gt;"Off")*(INDEX(Departments!$G$2:$G$13,$W191)="Closed")+(Q191&lt;&gt;"Off")*(INDEX(Departments!$H$2:$H$13,$W191)="Closed")+(R191&lt;&gt;"Off")*(INDEX(Departments!$I$2:$I$13,$W191)="Closed")&gt;0,"Note: works on a closed OPD day","OK"))))))</f>
        <v/>
      </c>
      <c r="U191" s="20">
        <f>C191&amp;"|"&amp;E191</f>
        <v/>
      </c>
      <c r="V191" s="20">
        <f>IF(A191="","",IFERROR(VALUE(MID(A191,4,4)),0))</f>
        <v/>
      </c>
      <c r="W191" s="20">
        <f>IFERROR(MATCH(C191,Departments!$B$2:$B$13,0),"")</f>
        <v/>
      </c>
    </row>
    <row r="192">
      <c r="A192" s="14" t="n"/>
      <c r="B192" s="14" t="n"/>
      <c r="C192" s="14" t="n"/>
      <c r="D192" s="14" t="n"/>
      <c r="E192" s="14" t="n"/>
      <c r="F192" s="14" t="n"/>
      <c r="G192" s="15" t="n"/>
      <c r="H192" s="16" t="n"/>
      <c r="I192" s="17" t="n"/>
      <c r="J192" s="14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8">
        <f>IF(A192="","",COUNTIF(M192:R192,"Full")*2+COUNTIF(M192:R192,"AM")+COUNTIF(M192:R192,"PM"))</f>
        <v/>
      </c>
      <c r="T192" s="19">
        <f>IF(A192="","",IF(COUNTIF($A$2:$A$200,A192)&gt;1,"Duplicate Staff ID",IF(COUNTA(B192:I192)+COUNTA(K192:L192)&lt;10,"Fill in all details",IF($W192="","Pick a department",IF(COUNTIF(M192:R192,"Off")=6,"No OPD days set",IF((M192&lt;&gt;"Off")*(INDEX(Departments!$D$2:$D$13,$W192)="Closed")+(N192&lt;&gt;"Off")*(INDEX(Departments!$E$2:$E$13,$W192)="Closed")+(O192&lt;&gt;"Off")*(INDEX(Departments!$F$2:$F$13,$W192)="Closed")+(P192&lt;&gt;"Off")*(INDEX(Departments!$G$2:$G$13,$W192)="Closed")+(Q192&lt;&gt;"Off")*(INDEX(Departments!$H$2:$H$13,$W192)="Closed")+(R192&lt;&gt;"Off")*(INDEX(Departments!$I$2:$I$13,$W192)="Closed")&gt;0,"Note: works on a closed OPD day","OK"))))))</f>
        <v/>
      </c>
      <c r="U192" s="20">
        <f>C192&amp;"|"&amp;E192</f>
        <v/>
      </c>
      <c r="V192" s="20">
        <f>IF(A192="","",IFERROR(VALUE(MID(A192,4,4)),0))</f>
        <v/>
      </c>
      <c r="W192" s="20">
        <f>IFERROR(MATCH(C192,Departments!$B$2:$B$13,0),"")</f>
        <v/>
      </c>
    </row>
    <row r="193">
      <c r="A193" s="14" t="n"/>
      <c r="B193" s="14" t="n"/>
      <c r="C193" s="14" t="n"/>
      <c r="D193" s="14" t="n"/>
      <c r="E193" s="14" t="n"/>
      <c r="F193" s="14" t="n"/>
      <c r="G193" s="15" t="n"/>
      <c r="H193" s="16" t="n"/>
      <c r="I193" s="17" t="n"/>
      <c r="J193" s="14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8">
        <f>IF(A193="","",COUNTIF(M193:R193,"Full")*2+COUNTIF(M193:R193,"AM")+COUNTIF(M193:R193,"PM"))</f>
        <v/>
      </c>
      <c r="T193" s="19">
        <f>IF(A193="","",IF(COUNTIF($A$2:$A$200,A193)&gt;1,"Duplicate Staff ID",IF(COUNTA(B193:I193)+COUNTA(K193:L193)&lt;10,"Fill in all details",IF($W193="","Pick a department",IF(COUNTIF(M193:R193,"Off")=6,"No OPD days set",IF((M193&lt;&gt;"Off")*(INDEX(Departments!$D$2:$D$13,$W193)="Closed")+(N193&lt;&gt;"Off")*(INDEX(Departments!$E$2:$E$13,$W193)="Closed")+(O193&lt;&gt;"Off")*(INDEX(Departments!$F$2:$F$13,$W193)="Closed")+(P193&lt;&gt;"Off")*(INDEX(Departments!$G$2:$G$13,$W193)="Closed")+(Q193&lt;&gt;"Off")*(INDEX(Departments!$H$2:$H$13,$W193)="Closed")+(R193&lt;&gt;"Off")*(INDEX(Departments!$I$2:$I$13,$W193)="Closed")&gt;0,"Note: works on a closed OPD day","OK"))))))</f>
        <v/>
      </c>
      <c r="U193" s="20">
        <f>C193&amp;"|"&amp;E193</f>
        <v/>
      </c>
      <c r="V193" s="20">
        <f>IF(A193="","",IFERROR(VALUE(MID(A193,4,4)),0))</f>
        <v/>
      </c>
      <c r="W193" s="20">
        <f>IFERROR(MATCH(C193,Departments!$B$2:$B$13,0),"")</f>
        <v/>
      </c>
    </row>
    <row r="194">
      <c r="A194" s="14" t="n"/>
      <c r="B194" s="14" t="n"/>
      <c r="C194" s="14" t="n"/>
      <c r="D194" s="14" t="n"/>
      <c r="E194" s="14" t="n"/>
      <c r="F194" s="14" t="n"/>
      <c r="G194" s="15" t="n"/>
      <c r="H194" s="16" t="n"/>
      <c r="I194" s="17" t="n"/>
      <c r="J194" s="14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8">
        <f>IF(A194="","",COUNTIF(M194:R194,"Full")*2+COUNTIF(M194:R194,"AM")+COUNTIF(M194:R194,"PM"))</f>
        <v/>
      </c>
      <c r="T194" s="19">
        <f>IF(A194="","",IF(COUNTIF($A$2:$A$200,A194)&gt;1,"Duplicate Staff ID",IF(COUNTA(B194:I194)+COUNTA(K194:L194)&lt;10,"Fill in all details",IF($W194="","Pick a department",IF(COUNTIF(M194:R194,"Off")=6,"No OPD days set",IF((M194&lt;&gt;"Off")*(INDEX(Departments!$D$2:$D$13,$W194)="Closed")+(N194&lt;&gt;"Off")*(INDEX(Departments!$E$2:$E$13,$W194)="Closed")+(O194&lt;&gt;"Off")*(INDEX(Departments!$F$2:$F$13,$W194)="Closed")+(P194&lt;&gt;"Off")*(INDEX(Departments!$G$2:$G$13,$W194)="Closed")+(Q194&lt;&gt;"Off")*(INDEX(Departments!$H$2:$H$13,$W194)="Closed")+(R194&lt;&gt;"Off")*(INDEX(Departments!$I$2:$I$13,$W194)="Closed")&gt;0,"Note: works on a closed OPD day","OK"))))))</f>
        <v/>
      </c>
      <c r="U194" s="20">
        <f>C194&amp;"|"&amp;E194</f>
        <v/>
      </c>
      <c r="V194" s="20">
        <f>IF(A194="","",IFERROR(VALUE(MID(A194,4,4)),0))</f>
        <v/>
      </c>
      <c r="W194" s="20">
        <f>IFERROR(MATCH(C194,Departments!$B$2:$B$13,0),"")</f>
        <v/>
      </c>
    </row>
    <row r="195">
      <c r="A195" s="14" t="n"/>
      <c r="B195" s="14" t="n"/>
      <c r="C195" s="14" t="n"/>
      <c r="D195" s="14" t="n"/>
      <c r="E195" s="14" t="n"/>
      <c r="F195" s="14" t="n"/>
      <c r="G195" s="15" t="n"/>
      <c r="H195" s="16" t="n"/>
      <c r="I195" s="17" t="n"/>
      <c r="J195" s="14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8">
        <f>IF(A195="","",COUNTIF(M195:R195,"Full")*2+COUNTIF(M195:R195,"AM")+COUNTIF(M195:R195,"PM"))</f>
        <v/>
      </c>
      <c r="T195" s="19">
        <f>IF(A195="","",IF(COUNTIF($A$2:$A$200,A195)&gt;1,"Duplicate Staff ID",IF(COUNTA(B195:I195)+COUNTA(K195:L195)&lt;10,"Fill in all details",IF($W195="","Pick a department",IF(COUNTIF(M195:R195,"Off")=6,"No OPD days set",IF((M195&lt;&gt;"Off")*(INDEX(Departments!$D$2:$D$13,$W195)="Closed")+(N195&lt;&gt;"Off")*(INDEX(Departments!$E$2:$E$13,$W195)="Closed")+(O195&lt;&gt;"Off")*(INDEX(Departments!$F$2:$F$13,$W195)="Closed")+(P195&lt;&gt;"Off")*(INDEX(Departments!$G$2:$G$13,$W195)="Closed")+(Q195&lt;&gt;"Off")*(INDEX(Departments!$H$2:$H$13,$W195)="Closed")+(R195&lt;&gt;"Off")*(INDEX(Departments!$I$2:$I$13,$W195)="Closed")&gt;0,"Note: works on a closed OPD day","OK"))))))</f>
        <v/>
      </c>
      <c r="U195" s="20">
        <f>C195&amp;"|"&amp;E195</f>
        <v/>
      </c>
      <c r="V195" s="20">
        <f>IF(A195="","",IFERROR(VALUE(MID(A195,4,4)),0))</f>
        <v/>
      </c>
      <c r="W195" s="20">
        <f>IFERROR(MATCH(C195,Departments!$B$2:$B$13,0),"")</f>
        <v/>
      </c>
    </row>
    <row r="196">
      <c r="A196" s="14" t="n"/>
      <c r="B196" s="14" t="n"/>
      <c r="C196" s="14" t="n"/>
      <c r="D196" s="14" t="n"/>
      <c r="E196" s="14" t="n"/>
      <c r="F196" s="14" t="n"/>
      <c r="G196" s="15" t="n"/>
      <c r="H196" s="16" t="n"/>
      <c r="I196" s="17" t="n"/>
      <c r="J196" s="14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8">
        <f>IF(A196="","",COUNTIF(M196:R196,"Full")*2+COUNTIF(M196:R196,"AM")+COUNTIF(M196:R196,"PM"))</f>
        <v/>
      </c>
      <c r="T196" s="19">
        <f>IF(A196="","",IF(COUNTIF($A$2:$A$200,A196)&gt;1,"Duplicate Staff ID",IF(COUNTA(B196:I196)+COUNTA(K196:L196)&lt;10,"Fill in all details",IF($W196="","Pick a department",IF(COUNTIF(M196:R196,"Off")=6,"No OPD days set",IF((M196&lt;&gt;"Off")*(INDEX(Departments!$D$2:$D$13,$W196)="Closed")+(N196&lt;&gt;"Off")*(INDEX(Departments!$E$2:$E$13,$W196)="Closed")+(O196&lt;&gt;"Off")*(INDEX(Departments!$F$2:$F$13,$W196)="Closed")+(P196&lt;&gt;"Off")*(INDEX(Departments!$G$2:$G$13,$W196)="Closed")+(Q196&lt;&gt;"Off")*(INDEX(Departments!$H$2:$H$13,$W196)="Closed")+(R196&lt;&gt;"Off")*(INDEX(Departments!$I$2:$I$13,$W196)="Closed")&gt;0,"Note: works on a closed OPD day","OK"))))))</f>
        <v/>
      </c>
      <c r="U196" s="20">
        <f>C196&amp;"|"&amp;E196</f>
        <v/>
      </c>
      <c r="V196" s="20">
        <f>IF(A196="","",IFERROR(VALUE(MID(A196,4,4)),0))</f>
        <v/>
      </c>
      <c r="W196" s="20">
        <f>IFERROR(MATCH(C196,Departments!$B$2:$B$13,0),"")</f>
        <v/>
      </c>
    </row>
    <row r="197">
      <c r="A197" s="14" t="n"/>
      <c r="B197" s="14" t="n"/>
      <c r="C197" s="14" t="n"/>
      <c r="D197" s="14" t="n"/>
      <c r="E197" s="14" t="n"/>
      <c r="F197" s="14" t="n"/>
      <c r="G197" s="15" t="n"/>
      <c r="H197" s="16" t="n"/>
      <c r="I197" s="17" t="n"/>
      <c r="J197" s="14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8">
        <f>IF(A197="","",COUNTIF(M197:R197,"Full")*2+COUNTIF(M197:R197,"AM")+COUNTIF(M197:R197,"PM"))</f>
        <v/>
      </c>
      <c r="T197" s="19">
        <f>IF(A197="","",IF(COUNTIF($A$2:$A$200,A197)&gt;1,"Duplicate Staff ID",IF(COUNTA(B197:I197)+COUNTA(K197:L197)&lt;10,"Fill in all details",IF($W197="","Pick a department",IF(COUNTIF(M197:R197,"Off")=6,"No OPD days set",IF((M197&lt;&gt;"Off")*(INDEX(Departments!$D$2:$D$13,$W197)="Closed")+(N197&lt;&gt;"Off")*(INDEX(Departments!$E$2:$E$13,$W197)="Closed")+(O197&lt;&gt;"Off")*(INDEX(Departments!$F$2:$F$13,$W197)="Closed")+(P197&lt;&gt;"Off")*(INDEX(Departments!$G$2:$G$13,$W197)="Closed")+(Q197&lt;&gt;"Off")*(INDEX(Departments!$H$2:$H$13,$W197)="Closed")+(R197&lt;&gt;"Off")*(INDEX(Departments!$I$2:$I$13,$W197)="Closed")&gt;0,"Note: works on a closed OPD day","OK"))))))</f>
        <v/>
      </c>
      <c r="U197" s="20">
        <f>C197&amp;"|"&amp;E197</f>
        <v/>
      </c>
      <c r="V197" s="20">
        <f>IF(A197="","",IFERROR(VALUE(MID(A197,4,4)),0))</f>
        <v/>
      </c>
      <c r="W197" s="20">
        <f>IFERROR(MATCH(C197,Departments!$B$2:$B$13,0),"")</f>
        <v/>
      </c>
    </row>
    <row r="198">
      <c r="A198" s="14" t="n"/>
      <c r="B198" s="14" t="n"/>
      <c r="C198" s="14" t="n"/>
      <c r="D198" s="14" t="n"/>
      <c r="E198" s="14" t="n"/>
      <c r="F198" s="14" t="n"/>
      <c r="G198" s="15" t="n"/>
      <c r="H198" s="16" t="n"/>
      <c r="I198" s="17" t="n"/>
      <c r="J198" s="14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8">
        <f>IF(A198="","",COUNTIF(M198:R198,"Full")*2+COUNTIF(M198:R198,"AM")+COUNTIF(M198:R198,"PM"))</f>
        <v/>
      </c>
      <c r="T198" s="19">
        <f>IF(A198="","",IF(COUNTIF($A$2:$A$200,A198)&gt;1,"Duplicate Staff ID",IF(COUNTA(B198:I198)+COUNTA(K198:L198)&lt;10,"Fill in all details",IF($W198="","Pick a department",IF(COUNTIF(M198:R198,"Off")=6,"No OPD days set",IF((M198&lt;&gt;"Off")*(INDEX(Departments!$D$2:$D$13,$W198)="Closed")+(N198&lt;&gt;"Off")*(INDEX(Departments!$E$2:$E$13,$W198)="Closed")+(O198&lt;&gt;"Off")*(INDEX(Departments!$F$2:$F$13,$W198)="Closed")+(P198&lt;&gt;"Off")*(INDEX(Departments!$G$2:$G$13,$W198)="Closed")+(Q198&lt;&gt;"Off")*(INDEX(Departments!$H$2:$H$13,$W198)="Closed")+(R198&lt;&gt;"Off")*(INDEX(Departments!$I$2:$I$13,$W198)="Closed")&gt;0,"Note: works on a closed OPD day","OK"))))))</f>
        <v/>
      </c>
      <c r="U198" s="20">
        <f>C198&amp;"|"&amp;E198</f>
        <v/>
      </c>
      <c r="V198" s="20">
        <f>IF(A198="","",IFERROR(VALUE(MID(A198,4,4)),0))</f>
        <v/>
      </c>
      <c r="W198" s="20">
        <f>IFERROR(MATCH(C198,Departments!$B$2:$B$13,0),"")</f>
        <v/>
      </c>
    </row>
    <row r="199">
      <c r="A199" s="14" t="n"/>
      <c r="B199" s="14" t="n"/>
      <c r="C199" s="14" t="n"/>
      <c r="D199" s="14" t="n"/>
      <c r="E199" s="14" t="n"/>
      <c r="F199" s="14" t="n"/>
      <c r="G199" s="15" t="n"/>
      <c r="H199" s="16" t="n"/>
      <c r="I199" s="17" t="n"/>
      <c r="J199" s="14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8">
        <f>IF(A199="","",COUNTIF(M199:R199,"Full")*2+COUNTIF(M199:R199,"AM")+COUNTIF(M199:R199,"PM"))</f>
        <v/>
      </c>
      <c r="T199" s="19">
        <f>IF(A199="","",IF(COUNTIF($A$2:$A$200,A199)&gt;1,"Duplicate Staff ID",IF(COUNTA(B199:I199)+COUNTA(K199:L199)&lt;10,"Fill in all details",IF($W199="","Pick a department",IF(COUNTIF(M199:R199,"Off")=6,"No OPD days set",IF((M199&lt;&gt;"Off")*(INDEX(Departments!$D$2:$D$13,$W199)="Closed")+(N199&lt;&gt;"Off")*(INDEX(Departments!$E$2:$E$13,$W199)="Closed")+(O199&lt;&gt;"Off")*(INDEX(Departments!$F$2:$F$13,$W199)="Closed")+(P199&lt;&gt;"Off")*(INDEX(Departments!$G$2:$G$13,$W199)="Closed")+(Q199&lt;&gt;"Off")*(INDEX(Departments!$H$2:$H$13,$W199)="Closed")+(R199&lt;&gt;"Off")*(INDEX(Departments!$I$2:$I$13,$W199)="Closed")&gt;0,"Note: works on a closed OPD day","OK"))))))</f>
        <v/>
      </c>
      <c r="U199" s="20">
        <f>C199&amp;"|"&amp;E199</f>
        <v/>
      </c>
      <c r="V199" s="20">
        <f>IF(A199="","",IFERROR(VALUE(MID(A199,4,4)),0))</f>
        <v/>
      </c>
      <c r="W199" s="20">
        <f>IFERROR(MATCH(C199,Departments!$B$2:$B$13,0),"")</f>
        <v/>
      </c>
    </row>
    <row r="200">
      <c r="A200" s="14" t="n"/>
      <c r="B200" s="14" t="n"/>
      <c r="C200" s="14" t="n"/>
      <c r="D200" s="14" t="n"/>
      <c r="E200" s="14" t="n"/>
      <c r="F200" s="14" t="n"/>
      <c r="G200" s="15" t="n"/>
      <c r="H200" s="16" t="n"/>
      <c r="I200" s="17" t="n"/>
      <c r="J200" s="14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8">
        <f>IF(A200="","",COUNTIF(M200:R200,"Full")*2+COUNTIF(M200:R200,"AM")+COUNTIF(M200:R200,"PM"))</f>
        <v/>
      </c>
      <c r="T200" s="19">
        <f>IF(A200="","",IF(COUNTIF($A$2:$A$200,A200)&gt;1,"Duplicate Staff ID",IF(COUNTA(B200:I200)+COUNTA(K200:L200)&lt;10,"Fill in all details",IF($W200="","Pick a department",IF(COUNTIF(M200:R200,"Off")=6,"No OPD days set",IF((M200&lt;&gt;"Off")*(INDEX(Departments!$D$2:$D$13,$W200)="Closed")+(N200&lt;&gt;"Off")*(INDEX(Departments!$E$2:$E$13,$W200)="Closed")+(O200&lt;&gt;"Off")*(INDEX(Departments!$F$2:$F$13,$W200)="Closed")+(P200&lt;&gt;"Off")*(INDEX(Departments!$G$2:$G$13,$W200)="Closed")+(Q200&lt;&gt;"Off")*(INDEX(Departments!$H$2:$H$13,$W200)="Closed")+(R200&lt;&gt;"Off")*(INDEX(Departments!$I$2:$I$13,$W200)="Closed")&gt;0,"Note: works on a closed OPD day","OK"))))))</f>
        <v/>
      </c>
      <c r="U200" s="20">
        <f>C200&amp;"|"&amp;E200</f>
        <v/>
      </c>
      <c r="V200" s="20">
        <f>IF(A200="","",IFERROR(VALUE(MID(A200,4,4)),0))</f>
        <v/>
      </c>
      <c r="W200" s="20">
        <f>IFERROR(MATCH(C200,Departments!$B$2:$B$13,0),"")</f>
        <v/>
      </c>
    </row>
  </sheetData>
  <autoFilter ref="A1:T200"/>
  <conditionalFormatting sqref="M2:R200">
    <cfRule type="cellIs" priority="1" operator="equal" dxfId="0">
      <formula>"Full"</formula>
    </cfRule>
    <cfRule type="cellIs" priority="2" operator="equal" dxfId="1">
      <formula>"AM"</formula>
    </cfRule>
    <cfRule type="cellIs" priority="3" operator="equal" dxfId="2">
      <formula>"PM"</formula>
    </cfRule>
    <cfRule type="cellIs" priority="4" operator="equal" dxfId="3">
      <formula>"Off"</formula>
    </cfRule>
  </conditionalFormatting>
  <conditionalFormatting sqref="T2:T200">
    <cfRule type="expression" priority="5" dxfId="4">
      <formula>AND(T2&lt;&gt;"",T2&lt;&gt;"OK",LEFT(T2,4)&lt;&gt;"Note")</formula>
    </cfRule>
  </conditionalFormatting>
  <conditionalFormatting sqref="K2:K200">
    <cfRule type="cellIs" priority="6" operator="equal" dxfId="5">
      <formula>"Inactive"</formula>
    </cfRule>
  </conditionalFormatting>
  <dataValidations count="8">
    <dataValidation sqref="C2:C200" showDropDown="0" showInputMessage="0" showErrorMessage="1" allowBlank="1" errorTitle="Pick from the list" error="Please choose a value from the dropdown list." type="list">
      <formula1>=Departments!$B$2:$B$13</formula1>
    </dataValidation>
    <dataValidation sqref="E2:E200" showDropDown="0" showInputMessage="0" showErrorMessage="1" allowBlank="1" errorTitle="Pick from the list" error="Please choose a value from the dropdown list." type="list">
      <formula1>"Professor &amp; Head,Professor,Associate Professor,Assistant Professor,Senior Resident,Junior Resident,Consultant,Visiting Consultant"</formula1>
    </dataValidation>
    <dataValidation sqref="F2:F200" showDropDown="0" showInputMessage="0" showErrorMessage="1" allowBlank="1" errorTitle="Pick from the list" error="Please choose a value from the dropdown list." type="list">
      <formula1>"Permanent,Contract,Visiting"</formula1>
    </dataValidation>
    <dataValidation sqref="K2:K200" showDropDown="0" showInputMessage="1" showErrorMessage="1" allowBlank="1" errorTitle="Pick from the list" error="Please choose a value from the dropdown list." promptTitle="Tip" prompt="Inactive = removed from the website and booking (history is kept)." type="list">
      <formula1>"Active,On Leave,Inactive"</formula1>
    </dataValidation>
    <dataValidation sqref="L2:L200" showDropDown="0" showInputMessage="0" showErrorMessage="1" allowBlank="1" errorTitle="Pick from the list" error="Please choose a value from the dropdown list." type="list">
      <formula1>"Yes,No"</formula1>
    </dataValidation>
    <dataValidation sqref="M2:R200" showDropDown="0" showInputMessage="1" showErrorMessage="1" allowBlank="1" errorTitle="Pick from the list" error="Please choose a value from the dropdown list." promptTitle="Tip" prompt="Full = 09:00–13:00 and 14:00–16:00 · AM = morning only · PM = afternoon only · Off" type="list">
      <formula1>"Full,AM,PM,Off"</formula1>
    </dataValidation>
    <dataValidation sqref="G2:G200" showDropDown="0" showInputMessage="0" showErrorMessage="1" allowBlank="1" error="Experience must be a whole number of years (0–60)." type="whole" operator="between">
      <formula1>0</formula1>
      <formula2>60</formula2>
    </dataValidation>
    <dataValidation sqref="H2:H200" showDropDown="0" showInputMessage="0" showErrorMessage="1" allowBlank="1" error="Enter a date, e.g. 01-Jul-2024." type="date" operator="between">
      <formula1>DATE(1960,1,1)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6F61"/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3" customWidth="1" min="10" max="10"/>
    <col width="10" customWidth="1" min="11" max="11"/>
    <col width="26" customWidth="1" min="12" max="12"/>
  </cols>
  <sheetData>
    <row r="1" ht="30" customHeight="1">
      <c r="A1" s="13" t="inlineStr">
        <is>
          <t>Dept ID</t>
        </is>
      </c>
      <c r="B1" s="13" t="inlineStr">
        <is>
          <t>Department</t>
        </is>
      </c>
      <c r="C1" s="13" t="inlineStr">
        <is>
          <t>Code</t>
        </is>
      </c>
      <c r="D1" s="13" t="inlineStr">
        <is>
          <t>Mon</t>
        </is>
      </c>
      <c r="E1" s="13" t="inlineStr">
        <is>
          <t>Tue</t>
        </is>
      </c>
      <c r="F1" s="13" t="inlineStr">
        <is>
          <t>Wed</t>
        </is>
      </c>
      <c r="G1" s="13" t="inlineStr">
        <is>
          <t>Thu</t>
        </is>
      </c>
      <c r="H1" s="13" t="inlineStr">
        <is>
          <t>Fri</t>
        </is>
      </c>
      <c r="I1" s="13" t="inlineStr">
        <is>
          <t>Sat</t>
        </is>
      </c>
      <c r="J1" s="13" t="inlineStr">
        <is>
          <t>Consultation fee</t>
        </is>
      </c>
      <c r="K1" s="13" t="inlineStr">
        <is>
          <t>Active doctors</t>
        </is>
      </c>
      <c r="L1" s="13" t="inlineStr">
        <is>
          <t>Head of department</t>
        </is>
      </c>
    </row>
    <row r="2">
      <c r="A2" s="21" t="inlineStr">
        <is>
          <t>DEP0001</t>
        </is>
      </c>
      <c r="B2" s="21" t="inlineStr">
        <is>
          <t>General Medicine</t>
        </is>
      </c>
      <c r="C2" s="21" t="inlineStr">
        <is>
          <t>MED</t>
        </is>
      </c>
      <c r="D2" s="15" t="inlineStr">
        <is>
          <t>Open</t>
        </is>
      </c>
      <c r="E2" s="15" t="inlineStr">
        <is>
          <t>Open</t>
        </is>
      </c>
      <c r="F2" s="15" t="inlineStr">
        <is>
          <t>Open</t>
        </is>
      </c>
      <c r="G2" s="15" t="inlineStr">
        <is>
          <t>Open</t>
        </is>
      </c>
      <c r="H2" s="15" t="inlineStr">
        <is>
          <t>Open</t>
        </is>
      </c>
      <c r="I2" s="15" t="inlineStr">
        <is>
          <t>Open</t>
        </is>
      </c>
      <c r="J2" s="15" t="inlineStr">
        <is>
          <t>General</t>
        </is>
      </c>
      <c r="K2" s="18">
        <f>COUNTIFS(Doctors!$C$2:$C$200,B2,Doctors!$K$2:$K$200,"Active")</f>
        <v/>
      </c>
      <c r="L2" s="19">
        <f>IFERROR(INDEX(Doctors!$B$2:$B$200,MATCH(B2&amp;"|Professor &amp; Head",Doctors!$U$2:$U$200,0)),"— none —")</f>
        <v/>
      </c>
    </row>
    <row r="3">
      <c r="A3" s="21" t="inlineStr">
        <is>
          <t>DEP0002</t>
        </is>
      </c>
      <c r="B3" s="21" t="inlineStr">
        <is>
          <t>General Surgery</t>
        </is>
      </c>
      <c r="C3" s="21" t="inlineStr">
        <is>
          <t>SUR</t>
        </is>
      </c>
      <c r="D3" s="15" t="inlineStr">
        <is>
          <t>Open</t>
        </is>
      </c>
      <c r="E3" s="15" t="inlineStr">
        <is>
          <t>Open</t>
        </is>
      </c>
      <c r="F3" s="15" t="inlineStr">
        <is>
          <t>Open</t>
        </is>
      </c>
      <c r="G3" s="15" t="inlineStr">
        <is>
          <t>Open</t>
        </is>
      </c>
      <c r="H3" s="15" t="inlineStr">
        <is>
          <t>Open</t>
        </is>
      </c>
      <c r="I3" s="15" t="inlineStr">
        <is>
          <t>Open</t>
        </is>
      </c>
      <c r="J3" s="15" t="inlineStr">
        <is>
          <t>Specialist</t>
        </is>
      </c>
      <c r="K3" s="18">
        <f>COUNTIFS(Doctors!$C$2:$C$200,B3,Doctors!$K$2:$K$200,"Active")</f>
        <v/>
      </c>
      <c r="L3" s="19">
        <f>IFERROR(INDEX(Doctors!$B$2:$B$200,MATCH(B3&amp;"|Professor &amp; Head",Doctors!$U$2:$U$200,0)),"— none —")</f>
        <v/>
      </c>
    </row>
    <row r="4">
      <c r="A4" s="21" t="inlineStr">
        <is>
          <t>DEP0003</t>
        </is>
      </c>
      <c r="B4" s="21" t="inlineStr">
        <is>
          <t>Cardiology</t>
        </is>
      </c>
      <c r="C4" s="21" t="inlineStr">
        <is>
          <t>CAR</t>
        </is>
      </c>
      <c r="D4" s="15" t="inlineStr">
        <is>
          <t>Open</t>
        </is>
      </c>
      <c r="E4" s="15" t="inlineStr">
        <is>
          <t>Closed</t>
        </is>
      </c>
      <c r="F4" s="15" t="inlineStr">
        <is>
          <t>Open</t>
        </is>
      </c>
      <c r="G4" s="15" t="inlineStr">
        <is>
          <t>Closed</t>
        </is>
      </c>
      <c r="H4" s="15" t="inlineStr">
        <is>
          <t>Open</t>
        </is>
      </c>
      <c r="I4" s="15" t="inlineStr">
        <is>
          <t>Open</t>
        </is>
      </c>
      <c r="J4" s="15" t="inlineStr">
        <is>
          <t>Specialist</t>
        </is>
      </c>
      <c r="K4" s="18">
        <f>COUNTIFS(Doctors!$C$2:$C$200,B4,Doctors!$K$2:$K$200,"Active")</f>
        <v/>
      </c>
      <c r="L4" s="19">
        <f>IFERROR(INDEX(Doctors!$B$2:$B$200,MATCH(B4&amp;"|Professor &amp; Head",Doctors!$U$2:$U$200,0)),"— none —")</f>
        <v/>
      </c>
    </row>
    <row r="5">
      <c r="A5" s="21" t="inlineStr">
        <is>
          <t>DEP0004</t>
        </is>
      </c>
      <c r="B5" s="21" t="inlineStr">
        <is>
          <t>Orthopaedics</t>
        </is>
      </c>
      <c r="C5" s="21" t="inlineStr">
        <is>
          <t>ORT</t>
        </is>
      </c>
      <c r="D5" s="15" t="inlineStr">
        <is>
          <t>Open</t>
        </is>
      </c>
      <c r="E5" s="15" t="inlineStr">
        <is>
          <t>Open</t>
        </is>
      </c>
      <c r="F5" s="15" t="inlineStr">
        <is>
          <t>Closed</t>
        </is>
      </c>
      <c r="G5" s="15" t="inlineStr">
        <is>
          <t>Open</t>
        </is>
      </c>
      <c r="H5" s="15" t="inlineStr">
        <is>
          <t>Open</t>
        </is>
      </c>
      <c r="I5" s="15" t="inlineStr">
        <is>
          <t>Open</t>
        </is>
      </c>
      <c r="J5" s="15" t="inlineStr">
        <is>
          <t>Specialist</t>
        </is>
      </c>
      <c r="K5" s="18">
        <f>COUNTIFS(Doctors!$C$2:$C$200,B5,Doctors!$K$2:$K$200,"Active")</f>
        <v/>
      </c>
      <c r="L5" s="19">
        <f>IFERROR(INDEX(Doctors!$B$2:$B$200,MATCH(B5&amp;"|Professor &amp; Head",Doctors!$U$2:$U$200,0)),"— none —")</f>
        <v/>
      </c>
    </row>
    <row r="6">
      <c r="A6" s="21" t="inlineStr">
        <is>
          <t>DEP0005</t>
        </is>
      </c>
      <c r="B6" s="21" t="inlineStr">
        <is>
          <t>Obstetrics &amp; Gynaecology</t>
        </is>
      </c>
      <c r="C6" s="21" t="inlineStr">
        <is>
          <t>OBG</t>
        </is>
      </c>
      <c r="D6" s="15" t="inlineStr">
        <is>
          <t>Open</t>
        </is>
      </c>
      <c r="E6" s="15" t="inlineStr">
        <is>
          <t>Open</t>
        </is>
      </c>
      <c r="F6" s="15" t="inlineStr">
        <is>
          <t>Open</t>
        </is>
      </c>
      <c r="G6" s="15" t="inlineStr">
        <is>
          <t>Open</t>
        </is>
      </c>
      <c r="H6" s="15" t="inlineStr">
        <is>
          <t>Open</t>
        </is>
      </c>
      <c r="I6" s="15" t="inlineStr">
        <is>
          <t>Open</t>
        </is>
      </c>
      <c r="J6" s="15" t="inlineStr">
        <is>
          <t>Specialist</t>
        </is>
      </c>
      <c r="K6" s="18">
        <f>COUNTIFS(Doctors!$C$2:$C$200,B6,Doctors!$K$2:$K$200,"Active")</f>
        <v/>
      </c>
      <c r="L6" s="19">
        <f>IFERROR(INDEX(Doctors!$B$2:$B$200,MATCH(B6&amp;"|Professor &amp; Head",Doctors!$U$2:$U$200,0)),"— none —")</f>
        <v/>
      </c>
    </row>
    <row r="7">
      <c r="A7" s="21" t="inlineStr">
        <is>
          <t>DEP0006</t>
        </is>
      </c>
      <c r="B7" s="21" t="inlineStr">
        <is>
          <t>Paediatrics</t>
        </is>
      </c>
      <c r="C7" s="21" t="inlineStr">
        <is>
          <t>PED</t>
        </is>
      </c>
      <c r="D7" s="15" t="inlineStr">
        <is>
          <t>Open</t>
        </is>
      </c>
      <c r="E7" s="15" t="inlineStr">
        <is>
          <t>Open</t>
        </is>
      </c>
      <c r="F7" s="15" t="inlineStr">
        <is>
          <t>Open</t>
        </is>
      </c>
      <c r="G7" s="15" t="inlineStr">
        <is>
          <t>Open</t>
        </is>
      </c>
      <c r="H7" s="15" t="inlineStr">
        <is>
          <t>Open</t>
        </is>
      </c>
      <c r="I7" s="15" t="inlineStr">
        <is>
          <t>Open</t>
        </is>
      </c>
      <c r="J7" s="15" t="inlineStr">
        <is>
          <t>Specialist</t>
        </is>
      </c>
      <c r="K7" s="18">
        <f>COUNTIFS(Doctors!$C$2:$C$200,B7,Doctors!$K$2:$K$200,"Active")</f>
        <v/>
      </c>
      <c r="L7" s="19">
        <f>IFERROR(INDEX(Doctors!$B$2:$B$200,MATCH(B7&amp;"|Professor &amp; Head",Doctors!$U$2:$U$200,0)),"— none —")</f>
        <v/>
      </c>
    </row>
    <row r="8">
      <c r="A8" s="21" t="inlineStr">
        <is>
          <t>DEP0007</t>
        </is>
      </c>
      <c r="B8" s="21" t="inlineStr">
        <is>
          <t>Neurology</t>
        </is>
      </c>
      <c r="C8" s="21" t="inlineStr">
        <is>
          <t>NEU</t>
        </is>
      </c>
      <c r="D8" s="15" t="inlineStr">
        <is>
          <t>Closed</t>
        </is>
      </c>
      <c r="E8" s="15" t="inlineStr">
        <is>
          <t>Open</t>
        </is>
      </c>
      <c r="F8" s="15" t="inlineStr">
        <is>
          <t>Closed</t>
        </is>
      </c>
      <c r="G8" s="15" t="inlineStr">
        <is>
          <t>Open</t>
        </is>
      </c>
      <c r="H8" s="15" t="inlineStr">
        <is>
          <t>Closed</t>
        </is>
      </c>
      <c r="I8" s="15" t="inlineStr">
        <is>
          <t>Open</t>
        </is>
      </c>
      <c r="J8" s="15" t="inlineStr">
        <is>
          <t>Specialist</t>
        </is>
      </c>
      <c r="K8" s="18">
        <f>COUNTIFS(Doctors!$C$2:$C$200,B8,Doctors!$K$2:$K$200,"Active")</f>
        <v/>
      </c>
      <c r="L8" s="19">
        <f>IFERROR(INDEX(Doctors!$B$2:$B$200,MATCH(B8&amp;"|Professor &amp; Head",Doctors!$U$2:$U$200,0)),"— none —")</f>
        <v/>
      </c>
    </row>
    <row r="9">
      <c r="A9" s="21" t="inlineStr">
        <is>
          <t>DEP0008</t>
        </is>
      </c>
      <c r="B9" s="21" t="inlineStr">
        <is>
          <t>ENT</t>
        </is>
      </c>
      <c r="C9" s="21" t="inlineStr">
        <is>
          <t>ENT</t>
        </is>
      </c>
      <c r="D9" s="15" t="inlineStr">
        <is>
          <t>Open</t>
        </is>
      </c>
      <c r="E9" s="15" t="inlineStr">
        <is>
          <t>Closed</t>
        </is>
      </c>
      <c r="F9" s="15" t="inlineStr">
        <is>
          <t>Open</t>
        </is>
      </c>
      <c r="G9" s="15" t="inlineStr">
        <is>
          <t>Closed</t>
        </is>
      </c>
      <c r="H9" s="15" t="inlineStr">
        <is>
          <t>Open</t>
        </is>
      </c>
      <c r="I9" s="15" t="inlineStr">
        <is>
          <t>Closed</t>
        </is>
      </c>
      <c r="J9" s="15" t="inlineStr">
        <is>
          <t>Specialist</t>
        </is>
      </c>
      <c r="K9" s="18">
        <f>COUNTIFS(Doctors!$C$2:$C$200,B9,Doctors!$K$2:$K$200,"Active")</f>
        <v/>
      </c>
      <c r="L9" s="19">
        <f>IFERROR(INDEX(Doctors!$B$2:$B$200,MATCH(B9&amp;"|Professor &amp; Head",Doctors!$U$2:$U$200,0)),"— none —")</f>
        <v/>
      </c>
    </row>
    <row r="10">
      <c r="A10" s="21" t="inlineStr">
        <is>
          <t>DEP0009</t>
        </is>
      </c>
      <c r="B10" s="21" t="inlineStr">
        <is>
          <t>Ophthalmology</t>
        </is>
      </c>
      <c r="C10" s="21" t="inlineStr">
        <is>
          <t>OPH</t>
        </is>
      </c>
      <c r="D10" s="15" t="inlineStr">
        <is>
          <t>Open</t>
        </is>
      </c>
      <c r="E10" s="15" t="inlineStr">
        <is>
          <t>Open</t>
        </is>
      </c>
      <c r="F10" s="15" t="inlineStr">
        <is>
          <t>Open</t>
        </is>
      </c>
      <c r="G10" s="15" t="inlineStr">
        <is>
          <t>Open</t>
        </is>
      </c>
      <c r="H10" s="15" t="inlineStr">
        <is>
          <t>Open</t>
        </is>
      </c>
      <c r="I10" s="15" t="inlineStr">
        <is>
          <t>Open</t>
        </is>
      </c>
      <c r="J10" s="15" t="inlineStr">
        <is>
          <t>Specialist</t>
        </is>
      </c>
      <c r="K10" s="18">
        <f>COUNTIFS(Doctors!$C$2:$C$200,B10,Doctors!$K$2:$K$200,"Active")</f>
        <v/>
      </c>
      <c r="L10" s="19">
        <f>IFERROR(INDEX(Doctors!$B$2:$B$200,MATCH(B10&amp;"|Professor &amp; Head",Doctors!$U$2:$U$200,0)),"— none —")</f>
        <v/>
      </c>
    </row>
    <row r="11">
      <c r="A11" s="21" t="inlineStr">
        <is>
          <t>DEP0010</t>
        </is>
      </c>
      <c r="B11" s="21" t="inlineStr">
        <is>
          <t>Emergency Care</t>
        </is>
      </c>
      <c r="C11" s="21" t="inlineStr">
        <is>
          <t>EMR</t>
        </is>
      </c>
      <c r="D11" s="15" t="inlineStr">
        <is>
          <t>Open</t>
        </is>
      </c>
      <c r="E11" s="15" t="inlineStr">
        <is>
          <t>Open</t>
        </is>
      </c>
      <c r="F11" s="15" t="inlineStr">
        <is>
          <t>Open</t>
        </is>
      </c>
      <c r="G11" s="15" t="inlineStr">
        <is>
          <t>Open</t>
        </is>
      </c>
      <c r="H11" s="15" t="inlineStr">
        <is>
          <t>Open</t>
        </is>
      </c>
      <c r="I11" s="15" t="inlineStr">
        <is>
          <t>Open</t>
        </is>
      </c>
      <c r="J11" s="15" t="inlineStr">
        <is>
          <t>General</t>
        </is>
      </c>
      <c r="K11" s="18">
        <f>COUNTIFS(Doctors!$C$2:$C$200,B11,Doctors!$K$2:$K$200,"Active")</f>
        <v/>
      </c>
      <c r="L11" s="19">
        <f>IFERROR(INDEX(Doctors!$B$2:$B$200,MATCH(B11&amp;"|Professor &amp; Head",Doctors!$U$2:$U$200,0)),"— none —")</f>
        <v/>
      </c>
    </row>
    <row r="12">
      <c r="A12" s="21" t="inlineStr">
        <is>
          <t>DEP0011</t>
        </is>
      </c>
      <c r="B12" s="21" t="inlineStr">
        <is>
          <t>Pathology &amp; Laboratory</t>
        </is>
      </c>
      <c r="C12" s="21" t="inlineStr">
        <is>
          <t>LAB</t>
        </is>
      </c>
      <c r="D12" s="15" t="inlineStr">
        <is>
          <t>Open</t>
        </is>
      </c>
      <c r="E12" s="15" t="inlineStr">
        <is>
          <t>Open</t>
        </is>
      </c>
      <c r="F12" s="15" t="inlineStr">
        <is>
          <t>Open</t>
        </is>
      </c>
      <c r="G12" s="15" t="inlineStr">
        <is>
          <t>Open</t>
        </is>
      </c>
      <c r="H12" s="15" t="inlineStr">
        <is>
          <t>Open</t>
        </is>
      </c>
      <c r="I12" s="15" t="inlineStr">
        <is>
          <t>Open</t>
        </is>
      </c>
      <c r="J12" s="15" t="inlineStr">
        <is>
          <t>Specialist</t>
        </is>
      </c>
      <c r="K12" s="18">
        <f>COUNTIFS(Doctors!$C$2:$C$200,B12,Doctors!$K$2:$K$200,"Active")</f>
        <v/>
      </c>
      <c r="L12" s="19">
        <f>IFERROR(INDEX(Doctors!$B$2:$B$200,MATCH(B12&amp;"|Professor &amp; Head",Doctors!$U$2:$U$200,0)),"— none —")</f>
        <v/>
      </c>
    </row>
    <row r="13">
      <c r="A13" s="21" t="inlineStr">
        <is>
          <t>DEP0012</t>
        </is>
      </c>
      <c r="B13" s="21" t="inlineStr">
        <is>
          <t>Radiology</t>
        </is>
      </c>
      <c r="C13" s="21" t="inlineStr">
        <is>
          <t>RAD</t>
        </is>
      </c>
      <c r="D13" s="15" t="inlineStr">
        <is>
          <t>Open</t>
        </is>
      </c>
      <c r="E13" s="15" t="inlineStr">
        <is>
          <t>Open</t>
        </is>
      </c>
      <c r="F13" s="15" t="inlineStr">
        <is>
          <t>Open</t>
        </is>
      </c>
      <c r="G13" s="15" t="inlineStr">
        <is>
          <t>Open</t>
        </is>
      </c>
      <c r="H13" s="15" t="inlineStr">
        <is>
          <t>Open</t>
        </is>
      </c>
      <c r="I13" s="15" t="inlineStr">
        <is>
          <t>Open</t>
        </is>
      </c>
      <c r="J13" s="15" t="inlineStr">
        <is>
          <t>Specialist</t>
        </is>
      </c>
      <c r="K13" s="18">
        <f>COUNTIFS(Doctors!$C$2:$C$200,B13,Doctors!$K$2:$K$200,"Active")</f>
        <v/>
      </c>
      <c r="L13" s="19">
        <f>IFERROR(INDEX(Doctors!$B$2:$B$200,MATCH(B13&amp;"|Professor &amp; Head",Doctors!$U$2:$U$200,0)),"— none —")</f>
        <v/>
      </c>
    </row>
    <row r="15">
      <c r="B15" s="2" t="inlineStr">
        <is>
          <t>OPD runs Monday–Saturday; Sunday is always closed. Department names and codes are fixed (the website uses them).</t>
        </is>
      </c>
    </row>
    <row r="16">
      <c r="B16" s="2" t="inlineStr">
        <is>
          <t>Emergency Care is walk-in 24×7 — its OPD days do not limit emergency care.</t>
        </is>
      </c>
    </row>
  </sheetData>
  <conditionalFormatting sqref="D2:I13">
    <cfRule type="cellIs" priority="1" operator="equal" dxfId="3">
      <formula>"Closed"</formula>
    </cfRule>
  </conditionalFormatting>
  <conditionalFormatting sqref="L2:L13">
    <cfRule type="cellIs" priority="2" operator="equal" dxfId="6">
      <formula>"— none —"</formula>
    </cfRule>
  </conditionalFormatting>
  <dataValidations count="2">
    <dataValidation sqref="D2:I13" showDropDown="0" showInputMessage="0" showErrorMessage="1" allowBlank="1" errorTitle="Pick from the list" error="Please choose a value from the dropdown list." type="list">
      <formula1>"Open,Closed"</formula1>
    </dataValidation>
    <dataValidation sqref="J2:J13" showDropDown="0" showInputMessage="0" showErrorMessage="1" allowBlank="1" errorTitle="Pick from the list" error="Please choose a value from the dropdown list." type="list">
      <formula1>"General,Specialist"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F61"/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3" customWidth="1" min="4" max="4"/>
    <col width="13" customWidth="1" min="5" max="5"/>
    <col width="9" customWidth="1" min="6" max="6"/>
    <col width="36" customWidth="1" min="7" max="7"/>
    <col width="11" customWidth="1" min="8" max="8"/>
  </cols>
  <sheetData>
    <row r="1" ht="30" customHeight="1">
      <c r="A1" s="13" t="inlineStr">
        <is>
          <t>Staff ID</t>
        </is>
      </c>
      <c r="B1" s="13" t="inlineStr">
        <is>
          <t>Doctor (auto)</t>
        </is>
      </c>
      <c r="C1" s="13" t="inlineStr">
        <is>
          <t>Leave type</t>
        </is>
      </c>
      <c r="D1" s="13" t="inlineStr">
        <is>
          <t>From</t>
        </is>
      </c>
      <c r="E1" s="13" t="inlineStr">
        <is>
          <t>To</t>
        </is>
      </c>
      <c r="F1" s="13" t="inlineStr">
        <is>
          <t>Days (auto)</t>
        </is>
      </c>
      <c r="G1" s="13" t="inlineStr">
        <is>
          <t>Reason</t>
        </is>
      </c>
      <c r="H1" s="13" t="inlineStr">
        <is>
          <t>Status</t>
        </is>
      </c>
    </row>
    <row r="2">
      <c r="A2" s="14" t="n"/>
      <c r="B2" s="19">
        <f>IF(A2="","",IFERROR(INDEX(Doctors!$B$2:$B$200,MATCH(A2,Doctors!$A$2:$A$200,0)),"Unknown Staff ID"))</f>
        <v/>
      </c>
      <c r="C2" s="14" t="n"/>
      <c r="D2" s="16" t="n"/>
      <c r="E2" s="16" t="n"/>
      <c r="F2" s="22">
        <f>IF(OR(D2="",E2=""),"",E2-D2+1)</f>
        <v/>
      </c>
      <c r="G2" s="14" t="n"/>
      <c r="H2" s="14" t="n"/>
    </row>
    <row r="3">
      <c r="A3" s="14" t="n"/>
      <c r="B3" s="19">
        <f>IF(A3="","",IFERROR(INDEX(Doctors!$B$2:$B$200,MATCH(A3,Doctors!$A$2:$A$200,0)),"Unknown Staff ID"))</f>
        <v/>
      </c>
      <c r="C3" s="14" t="n"/>
      <c r="D3" s="16" t="n"/>
      <c r="E3" s="16" t="n"/>
      <c r="F3" s="22">
        <f>IF(OR(D3="",E3=""),"",E3-D3+1)</f>
        <v/>
      </c>
      <c r="G3" s="14" t="n"/>
      <c r="H3" s="14" t="n"/>
    </row>
    <row r="4">
      <c r="A4" s="14" t="n"/>
      <c r="B4" s="19">
        <f>IF(A4="","",IFERROR(INDEX(Doctors!$B$2:$B$200,MATCH(A4,Doctors!$A$2:$A$200,0)),"Unknown Staff ID"))</f>
        <v/>
      </c>
      <c r="C4" s="14" t="n"/>
      <c r="D4" s="16" t="n"/>
      <c r="E4" s="16" t="n"/>
      <c r="F4" s="22">
        <f>IF(OR(D4="",E4=""),"",E4-D4+1)</f>
        <v/>
      </c>
      <c r="G4" s="14" t="n"/>
      <c r="H4" s="14" t="n"/>
    </row>
    <row r="5">
      <c r="A5" s="14" t="n"/>
      <c r="B5" s="19">
        <f>IF(A5="","",IFERROR(INDEX(Doctors!$B$2:$B$200,MATCH(A5,Doctors!$A$2:$A$200,0)),"Unknown Staff ID"))</f>
        <v/>
      </c>
      <c r="C5" s="14" t="n"/>
      <c r="D5" s="16" t="n"/>
      <c r="E5" s="16" t="n"/>
      <c r="F5" s="22">
        <f>IF(OR(D5="",E5=""),"",E5-D5+1)</f>
        <v/>
      </c>
      <c r="G5" s="14" t="n"/>
      <c r="H5" s="14" t="n"/>
    </row>
    <row r="6">
      <c r="A6" s="14" t="n"/>
      <c r="B6" s="19">
        <f>IF(A6="","",IFERROR(INDEX(Doctors!$B$2:$B$200,MATCH(A6,Doctors!$A$2:$A$200,0)),"Unknown Staff ID"))</f>
        <v/>
      </c>
      <c r="C6" s="14" t="n"/>
      <c r="D6" s="16" t="n"/>
      <c r="E6" s="16" t="n"/>
      <c r="F6" s="22">
        <f>IF(OR(D6="",E6=""),"",E6-D6+1)</f>
        <v/>
      </c>
      <c r="G6" s="14" t="n"/>
      <c r="H6" s="14" t="n"/>
    </row>
    <row r="7">
      <c r="A7" s="14" t="n"/>
      <c r="B7" s="19">
        <f>IF(A7="","",IFERROR(INDEX(Doctors!$B$2:$B$200,MATCH(A7,Doctors!$A$2:$A$200,0)),"Unknown Staff ID"))</f>
        <v/>
      </c>
      <c r="C7" s="14" t="n"/>
      <c r="D7" s="16" t="n"/>
      <c r="E7" s="16" t="n"/>
      <c r="F7" s="22">
        <f>IF(OR(D7="",E7=""),"",E7-D7+1)</f>
        <v/>
      </c>
      <c r="G7" s="14" t="n"/>
      <c r="H7" s="14" t="n"/>
    </row>
    <row r="8">
      <c r="A8" s="14" t="n"/>
      <c r="B8" s="19">
        <f>IF(A8="","",IFERROR(INDEX(Doctors!$B$2:$B$200,MATCH(A8,Doctors!$A$2:$A$200,0)),"Unknown Staff ID"))</f>
        <v/>
      </c>
      <c r="C8" s="14" t="n"/>
      <c r="D8" s="16" t="n"/>
      <c r="E8" s="16" t="n"/>
      <c r="F8" s="22">
        <f>IF(OR(D8="",E8=""),"",E8-D8+1)</f>
        <v/>
      </c>
      <c r="G8" s="14" t="n"/>
      <c r="H8" s="14" t="n"/>
    </row>
    <row r="9">
      <c r="A9" s="14" t="n"/>
      <c r="B9" s="19">
        <f>IF(A9="","",IFERROR(INDEX(Doctors!$B$2:$B$200,MATCH(A9,Doctors!$A$2:$A$200,0)),"Unknown Staff ID"))</f>
        <v/>
      </c>
      <c r="C9" s="14" t="n"/>
      <c r="D9" s="16" t="n"/>
      <c r="E9" s="16" t="n"/>
      <c r="F9" s="22">
        <f>IF(OR(D9="",E9=""),"",E9-D9+1)</f>
        <v/>
      </c>
      <c r="G9" s="14" t="n"/>
      <c r="H9" s="14" t="n"/>
    </row>
    <row r="10">
      <c r="A10" s="14" t="n"/>
      <c r="B10" s="19">
        <f>IF(A10="","",IFERROR(INDEX(Doctors!$B$2:$B$200,MATCH(A10,Doctors!$A$2:$A$200,0)),"Unknown Staff ID"))</f>
        <v/>
      </c>
      <c r="C10" s="14" t="n"/>
      <c r="D10" s="16" t="n"/>
      <c r="E10" s="16" t="n"/>
      <c r="F10" s="22">
        <f>IF(OR(D10="",E10=""),"",E10-D10+1)</f>
        <v/>
      </c>
      <c r="G10" s="14" t="n"/>
      <c r="H10" s="14" t="n"/>
    </row>
    <row r="11">
      <c r="A11" s="14" t="n"/>
      <c r="B11" s="19">
        <f>IF(A11="","",IFERROR(INDEX(Doctors!$B$2:$B$200,MATCH(A11,Doctors!$A$2:$A$200,0)),"Unknown Staff ID"))</f>
        <v/>
      </c>
      <c r="C11" s="14" t="n"/>
      <c r="D11" s="16" t="n"/>
      <c r="E11" s="16" t="n"/>
      <c r="F11" s="22">
        <f>IF(OR(D11="",E11=""),"",E11-D11+1)</f>
        <v/>
      </c>
      <c r="G11" s="14" t="n"/>
      <c r="H11" s="14" t="n"/>
    </row>
    <row r="12">
      <c r="A12" s="14" t="n"/>
      <c r="B12" s="19">
        <f>IF(A12="","",IFERROR(INDEX(Doctors!$B$2:$B$200,MATCH(A12,Doctors!$A$2:$A$200,0)),"Unknown Staff ID"))</f>
        <v/>
      </c>
      <c r="C12" s="14" t="n"/>
      <c r="D12" s="16" t="n"/>
      <c r="E12" s="16" t="n"/>
      <c r="F12" s="22">
        <f>IF(OR(D12="",E12=""),"",E12-D12+1)</f>
        <v/>
      </c>
      <c r="G12" s="14" t="n"/>
      <c r="H12" s="14" t="n"/>
    </row>
    <row r="13">
      <c r="A13" s="14" t="n"/>
      <c r="B13" s="19">
        <f>IF(A13="","",IFERROR(INDEX(Doctors!$B$2:$B$200,MATCH(A13,Doctors!$A$2:$A$200,0)),"Unknown Staff ID"))</f>
        <v/>
      </c>
      <c r="C13" s="14" t="n"/>
      <c r="D13" s="16" t="n"/>
      <c r="E13" s="16" t="n"/>
      <c r="F13" s="22">
        <f>IF(OR(D13="",E13=""),"",E13-D13+1)</f>
        <v/>
      </c>
      <c r="G13" s="14" t="n"/>
      <c r="H13" s="14" t="n"/>
    </row>
    <row r="14">
      <c r="A14" s="14" t="n"/>
      <c r="B14" s="19">
        <f>IF(A14="","",IFERROR(INDEX(Doctors!$B$2:$B$200,MATCH(A14,Doctors!$A$2:$A$200,0)),"Unknown Staff ID"))</f>
        <v/>
      </c>
      <c r="C14" s="14" t="n"/>
      <c r="D14" s="16" t="n"/>
      <c r="E14" s="16" t="n"/>
      <c r="F14" s="22">
        <f>IF(OR(D14="",E14=""),"",E14-D14+1)</f>
        <v/>
      </c>
      <c r="G14" s="14" t="n"/>
      <c r="H14" s="14" t="n"/>
    </row>
    <row r="15">
      <c r="A15" s="14" t="n"/>
      <c r="B15" s="19">
        <f>IF(A15="","",IFERROR(INDEX(Doctors!$B$2:$B$200,MATCH(A15,Doctors!$A$2:$A$200,0)),"Unknown Staff ID"))</f>
        <v/>
      </c>
      <c r="C15" s="14" t="n"/>
      <c r="D15" s="16" t="n"/>
      <c r="E15" s="16" t="n"/>
      <c r="F15" s="22">
        <f>IF(OR(D15="",E15=""),"",E15-D15+1)</f>
        <v/>
      </c>
      <c r="G15" s="14" t="n"/>
      <c r="H15" s="14" t="n"/>
    </row>
    <row r="16">
      <c r="A16" s="14" t="n"/>
      <c r="B16" s="19">
        <f>IF(A16="","",IFERROR(INDEX(Doctors!$B$2:$B$200,MATCH(A16,Doctors!$A$2:$A$200,0)),"Unknown Staff ID"))</f>
        <v/>
      </c>
      <c r="C16" s="14" t="n"/>
      <c r="D16" s="16" t="n"/>
      <c r="E16" s="16" t="n"/>
      <c r="F16" s="22">
        <f>IF(OR(D16="",E16=""),"",E16-D16+1)</f>
        <v/>
      </c>
      <c r="G16" s="14" t="n"/>
      <c r="H16" s="14" t="n"/>
    </row>
    <row r="17">
      <c r="A17" s="14" t="n"/>
      <c r="B17" s="19">
        <f>IF(A17="","",IFERROR(INDEX(Doctors!$B$2:$B$200,MATCH(A17,Doctors!$A$2:$A$200,0)),"Unknown Staff ID"))</f>
        <v/>
      </c>
      <c r="C17" s="14" t="n"/>
      <c r="D17" s="16" t="n"/>
      <c r="E17" s="16" t="n"/>
      <c r="F17" s="22">
        <f>IF(OR(D17="",E17=""),"",E17-D17+1)</f>
        <v/>
      </c>
      <c r="G17" s="14" t="n"/>
      <c r="H17" s="14" t="n"/>
    </row>
    <row r="18">
      <c r="A18" s="14" t="n"/>
      <c r="B18" s="19">
        <f>IF(A18="","",IFERROR(INDEX(Doctors!$B$2:$B$200,MATCH(A18,Doctors!$A$2:$A$200,0)),"Unknown Staff ID"))</f>
        <v/>
      </c>
      <c r="C18" s="14" t="n"/>
      <c r="D18" s="16" t="n"/>
      <c r="E18" s="16" t="n"/>
      <c r="F18" s="22">
        <f>IF(OR(D18="",E18=""),"",E18-D18+1)</f>
        <v/>
      </c>
      <c r="G18" s="14" t="n"/>
      <c r="H18" s="14" t="n"/>
    </row>
    <row r="19">
      <c r="A19" s="14" t="n"/>
      <c r="B19" s="19">
        <f>IF(A19="","",IFERROR(INDEX(Doctors!$B$2:$B$200,MATCH(A19,Doctors!$A$2:$A$200,0)),"Unknown Staff ID"))</f>
        <v/>
      </c>
      <c r="C19" s="14" t="n"/>
      <c r="D19" s="16" t="n"/>
      <c r="E19" s="16" t="n"/>
      <c r="F19" s="22">
        <f>IF(OR(D19="",E19=""),"",E19-D19+1)</f>
        <v/>
      </c>
      <c r="G19" s="14" t="n"/>
      <c r="H19" s="14" t="n"/>
    </row>
    <row r="20">
      <c r="A20" s="14" t="n"/>
      <c r="B20" s="19">
        <f>IF(A20="","",IFERROR(INDEX(Doctors!$B$2:$B$200,MATCH(A20,Doctors!$A$2:$A$200,0)),"Unknown Staff ID"))</f>
        <v/>
      </c>
      <c r="C20" s="14" t="n"/>
      <c r="D20" s="16" t="n"/>
      <c r="E20" s="16" t="n"/>
      <c r="F20" s="22">
        <f>IF(OR(D20="",E20=""),"",E20-D20+1)</f>
        <v/>
      </c>
      <c r="G20" s="14" t="n"/>
      <c r="H20" s="14" t="n"/>
    </row>
    <row r="21">
      <c r="A21" s="14" t="n"/>
      <c r="B21" s="19">
        <f>IF(A21="","",IFERROR(INDEX(Doctors!$B$2:$B$200,MATCH(A21,Doctors!$A$2:$A$200,0)),"Unknown Staff ID"))</f>
        <v/>
      </c>
      <c r="C21" s="14" t="n"/>
      <c r="D21" s="16" t="n"/>
      <c r="E21" s="16" t="n"/>
      <c r="F21" s="22">
        <f>IF(OR(D21="",E21=""),"",E21-D21+1)</f>
        <v/>
      </c>
      <c r="G21" s="14" t="n"/>
      <c r="H21" s="14" t="n"/>
    </row>
    <row r="22">
      <c r="A22" s="14" t="n"/>
      <c r="B22" s="19">
        <f>IF(A22="","",IFERROR(INDEX(Doctors!$B$2:$B$200,MATCH(A22,Doctors!$A$2:$A$200,0)),"Unknown Staff ID"))</f>
        <v/>
      </c>
      <c r="C22" s="14" t="n"/>
      <c r="D22" s="16" t="n"/>
      <c r="E22" s="16" t="n"/>
      <c r="F22" s="22">
        <f>IF(OR(D22="",E22=""),"",E22-D22+1)</f>
        <v/>
      </c>
      <c r="G22" s="14" t="n"/>
      <c r="H22" s="14" t="n"/>
    </row>
    <row r="23">
      <c r="A23" s="14" t="n"/>
      <c r="B23" s="19">
        <f>IF(A23="","",IFERROR(INDEX(Doctors!$B$2:$B$200,MATCH(A23,Doctors!$A$2:$A$200,0)),"Unknown Staff ID"))</f>
        <v/>
      </c>
      <c r="C23" s="14" t="n"/>
      <c r="D23" s="16" t="n"/>
      <c r="E23" s="16" t="n"/>
      <c r="F23" s="22">
        <f>IF(OR(D23="",E23=""),"",E23-D23+1)</f>
        <v/>
      </c>
      <c r="G23" s="14" t="n"/>
      <c r="H23" s="14" t="n"/>
    </row>
    <row r="24">
      <c r="A24" s="14" t="n"/>
      <c r="B24" s="19">
        <f>IF(A24="","",IFERROR(INDEX(Doctors!$B$2:$B$200,MATCH(A24,Doctors!$A$2:$A$200,0)),"Unknown Staff ID"))</f>
        <v/>
      </c>
      <c r="C24" s="14" t="n"/>
      <c r="D24" s="16" t="n"/>
      <c r="E24" s="16" t="n"/>
      <c r="F24" s="22">
        <f>IF(OR(D24="",E24=""),"",E24-D24+1)</f>
        <v/>
      </c>
      <c r="G24" s="14" t="n"/>
      <c r="H24" s="14" t="n"/>
    </row>
    <row r="25">
      <c r="A25" s="14" t="n"/>
      <c r="B25" s="19">
        <f>IF(A25="","",IFERROR(INDEX(Doctors!$B$2:$B$200,MATCH(A25,Doctors!$A$2:$A$200,0)),"Unknown Staff ID"))</f>
        <v/>
      </c>
      <c r="C25" s="14" t="n"/>
      <c r="D25" s="16" t="n"/>
      <c r="E25" s="16" t="n"/>
      <c r="F25" s="22">
        <f>IF(OR(D25="",E25=""),"",E25-D25+1)</f>
        <v/>
      </c>
      <c r="G25" s="14" t="n"/>
      <c r="H25" s="14" t="n"/>
    </row>
    <row r="26">
      <c r="A26" s="14" t="n"/>
      <c r="B26" s="19">
        <f>IF(A26="","",IFERROR(INDEX(Doctors!$B$2:$B$200,MATCH(A26,Doctors!$A$2:$A$200,0)),"Unknown Staff ID"))</f>
        <v/>
      </c>
      <c r="C26" s="14" t="n"/>
      <c r="D26" s="16" t="n"/>
      <c r="E26" s="16" t="n"/>
      <c r="F26" s="22">
        <f>IF(OR(D26="",E26=""),"",E26-D26+1)</f>
        <v/>
      </c>
      <c r="G26" s="14" t="n"/>
      <c r="H26" s="14" t="n"/>
    </row>
    <row r="27">
      <c r="A27" s="14" t="n"/>
      <c r="B27" s="19">
        <f>IF(A27="","",IFERROR(INDEX(Doctors!$B$2:$B$200,MATCH(A27,Doctors!$A$2:$A$200,0)),"Unknown Staff ID"))</f>
        <v/>
      </c>
      <c r="C27" s="14" t="n"/>
      <c r="D27" s="16" t="n"/>
      <c r="E27" s="16" t="n"/>
      <c r="F27" s="22">
        <f>IF(OR(D27="",E27=""),"",E27-D27+1)</f>
        <v/>
      </c>
      <c r="G27" s="14" t="n"/>
      <c r="H27" s="14" t="n"/>
    </row>
    <row r="28">
      <c r="A28" s="14" t="n"/>
      <c r="B28" s="19">
        <f>IF(A28="","",IFERROR(INDEX(Doctors!$B$2:$B$200,MATCH(A28,Doctors!$A$2:$A$200,0)),"Unknown Staff ID"))</f>
        <v/>
      </c>
      <c r="C28" s="14" t="n"/>
      <c r="D28" s="16" t="n"/>
      <c r="E28" s="16" t="n"/>
      <c r="F28" s="22">
        <f>IF(OR(D28="",E28=""),"",E28-D28+1)</f>
        <v/>
      </c>
      <c r="G28" s="14" t="n"/>
      <c r="H28" s="14" t="n"/>
    </row>
    <row r="29">
      <c r="A29" s="14" t="n"/>
      <c r="B29" s="19">
        <f>IF(A29="","",IFERROR(INDEX(Doctors!$B$2:$B$200,MATCH(A29,Doctors!$A$2:$A$200,0)),"Unknown Staff ID"))</f>
        <v/>
      </c>
      <c r="C29" s="14" t="n"/>
      <c r="D29" s="16" t="n"/>
      <c r="E29" s="16" t="n"/>
      <c r="F29" s="22">
        <f>IF(OR(D29="",E29=""),"",E29-D29+1)</f>
        <v/>
      </c>
      <c r="G29" s="14" t="n"/>
      <c r="H29" s="14" t="n"/>
    </row>
    <row r="30">
      <c r="A30" s="14" t="n"/>
      <c r="B30" s="19">
        <f>IF(A30="","",IFERROR(INDEX(Doctors!$B$2:$B$200,MATCH(A30,Doctors!$A$2:$A$200,0)),"Unknown Staff ID"))</f>
        <v/>
      </c>
      <c r="C30" s="14" t="n"/>
      <c r="D30" s="16" t="n"/>
      <c r="E30" s="16" t="n"/>
      <c r="F30" s="22">
        <f>IF(OR(D30="",E30=""),"",E30-D30+1)</f>
        <v/>
      </c>
      <c r="G30" s="14" t="n"/>
      <c r="H30" s="14" t="n"/>
    </row>
    <row r="31">
      <c r="A31" s="14" t="n"/>
      <c r="B31" s="19">
        <f>IF(A31="","",IFERROR(INDEX(Doctors!$B$2:$B$200,MATCH(A31,Doctors!$A$2:$A$200,0)),"Unknown Staff ID"))</f>
        <v/>
      </c>
      <c r="C31" s="14" t="n"/>
      <c r="D31" s="16" t="n"/>
      <c r="E31" s="16" t="n"/>
      <c r="F31" s="22">
        <f>IF(OR(D31="",E31=""),"",E31-D31+1)</f>
        <v/>
      </c>
      <c r="G31" s="14" t="n"/>
      <c r="H31" s="14" t="n"/>
    </row>
    <row r="32">
      <c r="A32" s="14" t="n"/>
      <c r="B32" s="19">
        <f>IF(A32="","",IFERROR(INDEX(Doctors!$B$2:$B$200,MATCH(A32,Doctors!$A$2:$A$200,0)),"Unknown Staff ID"))</f>
        <v/>
      </c>
      <c r="C32" s="14" t="n"/>
      <c r="D32" s="16" t="n"/>
      <c r="E32" s="16" t="n"/>
      <c r="F32" s="22">
        <f>IF(OR(D32="",E32=""),"",E32-D32+1)</f>
        <v/>
      </c>
      <c r="G32" s="14" t="n"/>
      <c r="H32" s="14" t="n"/>
    </row>
    <row r="33">
      <c r="A33" s="14" t="n"/>
      <c r="B33" s="19">
        <f>IF(A33="","",IFERROR(INDEX(Doctors!$B$2:$B$200,MATCH(A33,Doctors!$A$2:$A$200,0)),"Unknown Staff ID"))</f>
        <v/>
      </c>
      <c r="C33" s="14" t="n"/>
      <c r="D33" s="16" t="n"/>
      <c r="E33" s="16" t="n"/>
      <c r="F33" s="22">
        <f>IF(OR(D33="",E33=""),"",E33-D33+1)</f>
        <v/>
      </c>
      <c r="G33" s="14" t="n"/>
      <c r="H33" s="14" t="n"/>
    </row>
    <row r="34">
      <c r="A34" s="14" t="n"/>
      <c r="B34" s="19">
        <f>IF(A34="","",IFERROR(INDEX(Doctors!$B$2:$B$200,MATCH(A34,Doctors!$A$2:$A$200,0)),"Unknown Staff ID"))</f>
        <v/>
      </c>
      <c r="C34" s="14" t="n"/>
      <c r="D34" s="16" t="n"/>
      <c r="E34" s="16" t="n"/>
      <c r="F34" s="22">
        <f>IF(OR(D34="",E34=""),"",E34-D34+1)</f>
        <v/>
      </c>
      <c r="G34" s="14" t="n"/>
      <c r="H34" s="14" t="n"/>
    </row>
    <row r="35">
      <c r="A35" s="14" t="n"/>
      <c r="B35" s="19">
        <f>IF(A35="","",IFERROR(INDEX(Doctors!$B$2:$B$200,MATCH(A35,Doctors!$A$2:$A$200,0)),"Unknown Staff ID"))</f>
        <v/>
      </c>
      <c r="C35" s="14" t="n"/>
      <c r="D35" s="16" t="n"/>
      <c r="E35" s="16" t="n"/>
      <c r="F35" s="22">
        <f>IF(OR(D35="",E35=""),"",E35-D35+1)</f>
        <v/>
      </c>
      <c r="G35" s="14" t="n"/>
      <c r="H35" s="14" t="n"/>
    </row>
    <row r="36">
      <c r="A36" s="14" t="n"/>
      <c r="B36" s="19">
        <f>IF(A36="","",IFERROR(INDEX(Doctors!$B$2:$B$200,MATCH(A36,Doctors!$A$2:$A$200,0)),"Unknown Staff ID"))</f>
        <v/>
      </c>
      <c r="C36" s="14" t="n"/>
      <c r="D36" s="16" t="n"/>
      <c r="E36" s="16" t="n"/>
      <c r="F36" s="22">
        <f>IF(OR(D36="",E36=""),"",E36-D36+1)</f>
        <v/>
      </c>
      <c r="G36" s="14" t="n"/>
      <c r="H36" s="14" t="n"/>
    </row>
    <row r="37">
      <c r="A37" s="14" t="n"/>
      <c r="B37" s="19">
        <f>IF(A37="","",IFERROR(INDEX(Doctors!$B$2:$B$200,MATCH(A37,Doctors!$A$2:$A$200,0)),"Unknown Staff ID"))</f>
        <v/>
      </c>
      <c r="C37" s="14" t="n"/>
      <c r="D37" s="16" t="n"/>
      <c r="E37" s="16" t="n"/>
      <c r="F37" s="22">
        <f>IF(OR(D37="",E37=""),"",E37-D37+1)</f>
        <v/>
      </c>
      <c r="G37" s="14" t="n"/>
      <c r="H37" s="14" t="n"/>
    </row>
    <row r="38">
      <c r="A38" s="14" t="n"/>
      <c r="B38" s="19">
        <f>IF(A38="","",IFERROR(INDEX(Doctors!$B$2:$B$200,MATCH(A38,Doctors!$A$2:$A$200,0)),"Unknown Staff ID"))</f>
        <v/>
      </c>
      <c r="C38" s="14" t="n"/>
      <c r="D38" s="16" t="n"/>
      <c r="E38" s="16" t="n"/>
      <c r="F38" s="22">
        <f>IF(OR(D38="",E38=""),"",E38-D38+1)</f>
        <v/>
      </c>
      <c r="G38" s="14" t="n"/>
      <c r="H38" s="14" t="n"/>
    </row>
    <row r="39">
      <c r="A39" s="14" t="n"/>
      <c r="B39" s="19">
        <f>IF(A39="","",IFERROR(INDEX(Doctors!$B$2:$B$200,MATCH(A39,Doctors!$A$2:$A$200,0)),"Unknown Staff ID"))</f>
        <v/>
      </c>
      <c r="C39" s="14" t="n"/>
      <c r="D39" s="16" t="n"/>
      <c r="E39" s="16" t="n"/>
      <c r="F39" s="22">
        <f>IF(OR(D39="",E39=""),"",E39-D39+1)</f>
        <v/>
      </c>
      <c r="G39" s="14" t="n"/>
      <c r="H39" s="14" t="n"/>
    </row>
    <row r="40">
      <c r="A40" s="14" t="n"/>
      <c r="B40" s="19">
        <f>IF(A40="","",IFERROR(INDEX(Doctors!$B$2:$B$200,MATCH(A40,Doctors!$A$2:$A$200,0)),"Unknown Staff ID"))</f>
        <v/>
      </c>
      <c r="C40" s="14" t="n"/>
      <c r="D40" s="16" t="n"/>
      <c r="E40" s="16" t="n"/>
      <c r="F40" s="22">
        <f>IF(OR(D40="",E40=""),"",E40-D40+1)</f>
        <v/>
      </c>
      <c r="G40" s="14" t="n"/>
      <c r="H40" s="14" t="n"/>
    </row>
    <row r="41">
      <c r="A41" s="14" t="n"/>
      <c r="B41" s="19">
        <f>IF(A41="","",IFERROR(INDEX(Doctors!$B$2:$B$200,MATCH(A41,Doctors!$A$2:$A$200,0)),"Unknown Staff ID"))</f>
        <v/>
      </c>
      <c r="C41" s="14" t="n"/>
      <c r="D41" s="16" t="n"/>
      <c r="E41" s="16" t="n"/>
      <c r="F41" s="22">
        <f>IF(OR(D41="",E41=""),"",E41-D41+1)</f>
        <v/>
      </c>
      <c r="G41" s="14" t="n"/>
      <c r="H41" s="14" t="n"/>
    </row>
    <row r="42">
      <c r="A42" s="14" t="n"/>
      <c r="B42" s="19">
        <f>IF(A42="","",IFERROR(INDEX(Doctors!$B$2:$B$200,MATCH(A42,Doctors!$A$2:$A$200,0)),"Unknown Staff ID"))</f>
        <v/>
      </c>
      <c r="C42" s="14" t="n"/>
      <c r="D42" s="16" t="n"/>
      <c r="E42" s="16" t="n"/>
      <c r="F42" s="22">
        <f>IF(OR(D42="",E42=""),"",E42-D42+1)</f>
        <v/>
      </c>
      <c r="G42" s="14" t="n"/>
      <c r="H42" s="14" t="n"/>
    </row>
    <row r="43">
      <c r="A43" s="14" t="n"/>
      <c r="B43" s="19">
        <f>IF(A43="","",IFERROR(INDEX(Doctors!$B$2:$B$200,MATCH(A43,Doctors!$A$2:$A$200,0)),"Unknown Staff ID"))</f>
        <v/>
      </c>
      <c r="C43" s="14" t="n"/>
      <c r="D43" s="16" t="n"/>
      <c r="E43" s="16" t="n"/>
      <c r="F43" s="22">
        <f>IF(OR(D43="",E43=""),"",E43-D43+1)</f>
        <v/>
      </c>
      <c r="G43" s="14" t="n"/>
      <c r="H43" s="14" t="n"/>
    </row>
    <row r="44">
      <c r="A44" s="14" t="n"/>
      <c r="B44" s="19">
        <f>IF(A44="","",IFERROR(INDEX(Doctors!$B$2:$B$200,MATCH(A44,Doctors!$A$2:$A$200,0)),"Unknown Staff ID"))</f>
        <v/>
      </c>
      <c r="C44" s="14" t="n"/>
      <c r="D44" s="16" t="n"/>
      <c r="E44" s="16" t="n"/>
      <c r="F44" s="22">
        <f>IF(OR(D44="",E44=""),"",E44-D44+1)</f>
        <v/>
      </c>
      <c r="G44" s="14" t="n"/>
      <c r="H44" s="14" t="n"/>
    </row>
    <row r="45">
      <c r="A45" s="14" t="n"/>
      <c r="B45" s="19">
        <f>IF(A45="","",IFERROR(INDEX(Doctors!$B$2:$B$200,MATCH(A45,Doctors!$A$2:$A$200,0)),"Unknown Staff ID"))</f>
        <v/>
      </c>
      <c r="C45" s="14" t="n"/>
      <c r="D45" s="16" t="n"/>
      <c r="E45" s="16" t="n"/>
      <c r="F45" s="22">
        <f>IF(OR(D45="",E45=""),"",E45-D45+1)</f>
        <v/>
      </c>
      <c r="G45" s="14" t="n"/>
      <c r="H45" s="14" t="n"/>
    </row>
    <row r="46">
      <c r="A46" s="14" t="n"/>
      <c r="B46" s="19">
        <f>IF(A46="","",IFERROR(INDEX(Doctors!$B$2:$B$200,MATCH(A46,Doctors!$A$2:$A$200,0)),"Unknown Staff ID"))</f>
        <v/>
      </c>
      <c r="C46" s="14" t="n"/>
      <c r="D46" s="16" t="n"/>
      <c r="E46" s="16" t="n"/>
      <c r="F46" s="22">
        <f>IF(OR(D46="",E46=""),"",E46-D46+1)</f>
        <v/>
      </c>
      <c r="G46" s="14" t="n"/>
      <c r="H46" s="14" t="n"/>
    </row>
    <row r="47">
      <c r="A47" s="14" t="n"/>
      <c r="B47" s="19">
        <f>IF(A47="","",IFERROR(INDEX(Doctors!$B$2:$B$200,MATCH(A47,Doctors!$A$2:$A$200,0)),"Unknown Staff ID"))</f>
        <v/>
      </c>
      <c r="C47" s="14" t="n"/>
      <c r="D47" s="16" t="n"/>
      <c r="E47" s="16" t="n"/>
      <c r="F47" s="22">
        <f>IF(OR(D47="",E47=""),"",E47-D47+1)</f>
        <v/>
      </c>
      <c r="G47" s="14" t="n"/>
      <c r="H47" s="14" t="n"/>
    </row>
    <row r="48">
      <c r="A48" s="14" t="n"/>
      <c r="B48" s="19">
        <f>IF(A48="","",IFERROR(INDEX(Doctors!$B$2:$B$200,MATCH(A48,Doctors!$A$2:$A$200,0)),"Unknown Staff ID"))</f>
        <v/>
      </c>
      <c r="C48" s="14" t="n"/>
      <c r="D48" s="16" t="n"/>
      <c r="E48" s="16" t="n"/>
      <c r="F48" s="22">
        <f>IF(OR(D48="",E48=""),"",E48-D48+1)</f>
        <v/>
      </c>
      <c r="G48" s="14" t="n"/>
      <c r="H48" s="14" t="n"/>
    </row>
    <row r="49">
      <c r="A49" s="14" t="n"/>
      <c r="B49" s="19">
        <f>IF(A49="","",IFERROR(INDEX(Doctors!$B$2:$B$200,MATCH(A49,Doctors!$A$2:$A$200,0)),"Unknown Staff ID"))</f>
        <v/>
      </c>
      <c r="C49" s="14" t="n"/>
      <c r="D49" s="16" t="n"/>
      <c r="E49" s="16" t="n"/>
      <c r="F49" s="22">
        <f>IF(OR(D49="",E49=""),"",E49-D49+1)</f>
        <v/>
      </c>
      <c r="G49" s="14" t="n"/>
      <c r="H49" s="14" t="n"/>
    </row>
    <row r="50">
      <c r="A50" s="14" t="n"/>
      <c r="B50" s="19">
        <f>IF(A50="","",IFERROR(INDEX(Doctors!$B$2:$B$200,MATCH(A50,Doctors!$A$2:$A$200,0)),"Unknown Staff ID"))</f>
        <v/>
      </c>
      <c r="C50" s="14" t="n"/>
      <c r="D50" s="16" t="n"/>
      <c r="E50" s="16" t="n"/>
      <c r="F50" s="22">
        <f>IF(OR(D50="",E50=""),"",E50-D50+1)</f>
        <v/>
      </c>
      <c r="G50" s="14" t="n"/>
      <c r="H50" s="14" t="n"/>
    </row>
    <row r="51">
      <c r="A51" s="14" t="n"/>
      <c r="B51" s="19">
        <f>IF(A51="","",IFERROR(INDEX(Doctors!$B$2:$B$200,MATCH(A51,Doctors!$A$2:$A$200,0)),"Unknown Staff ID"))</f>
        <v/>
      </c>
      <c r="C51" s="14" t="n"/>
      <c r="D51" s="16" t="n"/>
      <c r="E51" s="16" t="n"/>
      <c r="F51" s="22">
        <f>IF(OR(D51="",E51=""),"",E51-D51+1)</f>
        <v/>
      </c>
      <c r="G51" s="14" t="n"/>
      <c r="H51" s="14" t="n"/>
    </row>
    <row r="52">
      <c r="A52" s="14" t="n"/>
      <c r="B52" s="19">
        <f>IF(A52="","",IFERROR(INDEX(Doctors!$B$2:$B$200,MATCH(A52,Doctors!$A$2:$A$200,0)),"Unknown Staff ID"))</f>
        <v/>
      </c>
      <c r="C52" s="14" t="n"/>
      <c r="D52" s="16" t="n"/>
      <c r="E52" s="16" t="n"/>
      <c r="F52" s="22">
        <f>IF(OR(D52="",E52=""),"",E52-D52+1)</f>
        <v/>
      </c>
      <c r="G52" s="14" t="n"/>
      <c r="H52" s="14" t="n"/>
    </row>
    <row r="53">
      <c r="A53" s="14" t="n"/>
      <c r="B53" s="19">
        <f>IF(A53="","",IFERROR(INDEX(Doctors!$B$2:$B$200,MATCH(A53,Doctors!$A$2:$A$200,0)),"Unknown Staff ID"))</f>
        <v/>
      </c>
      <c r="C53" s="14" t="n"/>
      <c r="D53" s="16" t="n"/>
      <c r="E53" s="16" t="n"/>
      <c r="F53" s="22">
        <f>IF(OR(D53="",E53=""),"",E53-D53+1)</f>
        <v/>
      </c>
      <c r="G53" s="14" t="n"/>
      <c r="H53" s="14" t="n"/>
    </row>
    <row r="54">
      <c r="A54" s="14" t="n"/>
      <c r="B54" s="19">
        <f>IF(A54="","",IFERROR(INDEX(Doctors!$B$2:$B$200,MATCH(A54,Doctors!$A$2:$A$200,0)),"Unknown Staff ID"))</f>
        <v/>
      </c>
      <c r="C54" s="14" t="n"/>
      <c r="D54" s="16" t="n"/>
      <c r="E54" s="16" t="n"/>
      <c r="F54" s="22">
        <f>IF(OR(D54="",E54=""),"",E54-D54+1)</f>
        <v/>
      </c>
      <c r="G54" s="14" t="n"/>
      <c r="H54" s="14" t="n"/>
    </row>
    <row r="55">
      <c r="A55" s="14" t="n"/>
      <c r="B55" s="19">
        <f>IF(A55="","",IFERROR(INDEX(Doctors!$B$2:$B$200,MATCH(A55,Doctors!$A$2:$A$200,0)),"Unknown Staff ID"))</f>
        <v/>
      </c>
      <c r="C55" s="14" t="n"/>
      <c r="D55" s="16" t="n"/>
      <c r="E55" s="16" t="n"/>
      <c r="F55" s="22">
        <f>IF(OR(D55="",E55=""),"",E55-D55+1)</f>
        <v/>
      </c>
      <c r="G55" s="14" t="n"/>
      <c r="H55" s="14" t="n"/>
    </row>
    <row r="56">
      <c r="A56" s="14" t="n"/>
      <c r="B56" s="19">
        <f>IF(A56="","",IFERROR(INDEX(Doctors!$B$2:$B$200,MATCH(A56,Doctors!$A$2:$A$200,0)),"Unknown Staff ID"))</f>
        <v/>
      </c>
      <c r="C56" s="14" t="n"/>
      <c r="D56" s="16" t="n"/>
      <c r="E56" s="16" t="n"/>
      <c r="F56" s="22">
        <f>IF(OR(D56="",E56=""),"",E56-D56+1)</f>
        <v/>
      </c>
      <c r="G56" s="14" t="n"/>
      <c r="H56" s="14" t="n"/>
    </row>
    <row r="57">
      <c r="A57" s="14" t="n"/>
      <c r="B57" s="19">
        <f>IF(A57="","",IFERROR(INDEX(Doctors!$B$2:$B$200,MATCH(A57,Doctors!$A$2:$A$200,0)),"Unknown Staff ID"))</f>
        <v/>
      </c>
      <c r="C57" s="14" t="n"/>
      <c r="D57" s="16" t="n"/>
      <c r="E57" s="16" t="n"/>
      <c r="F57" s="22">
        <f>IF(OR(D57="",E57=""),"",E57-D57+1)</f>
        <v/>
      </c>
      <c r="G57" s="14" t="n"/>
      <c r="H57" s="14" t="n"/>
    </row>
    <row r="58">
      <c r="A58" s="14" t="n"/>
      <c r="B58" s="19">
        <f>IF(A58="","",IFERROR(INDEX(Doctors!$B$2:$B$200,MATCH(A58,Doctors!$A$2:$A$200,0)),"Unknown Staff ID"))</f>
        <v/>
      </c>
      <c r="C58" s="14" t="n"/>
      <c r="D58" s="16" t="n"/>
      <c r="E58" s="16" t="n"/>
      <c r="F58" s="22">
        <f>IF(OR(D58="",E58=""),"",E58-D58+1)</f>
        <v/>
      </c>
      <c r="G58" s="14" t="n"/>
      <c r="H58" s="14" t="n"/>
    </row>
    <row r="59">
      <c r="A59" s="14" t="n"/>
      <c r="B59" s="19">
        <f>IF(A59="","",IFERROR(INDEX(Doctors!$B$2:$B$200,MATCH(A59,Doctors!$A$2:$A$200,0)),"Unknown Staff ID"))</f>
        <v/>
      </c>
      <c r="C59" s="14" t="n"/>
      <c r="D59" s="16" t="n"/>
      <c r="E59" s="16" t="n"/>
      <c r="F59" s="22">
        <f>IF(OR(D59="",E59=""),"",E59-D59+1)</f>
        <v/>
      </c>
      <c r="G59" s="14" t="n"/>
      <c r="H59" s="14" t="n"/>
    </row>
    <row r="60">
      <c r="A60" s="14" t="n"/>
      <c r="B60" s="19">
        <f>IF(A60="","",IFERROR(INDEX(Doctors!$B$2:$B$200,MATCH(A60,Doctors!$A$2:$A$200,0)),"Unknown Staff ID"))</f>
        <v/>
      </c>
      <c r="C60" s="14" t="n"/>
      <c r="D60" s="16" t="n"/>
      <c r="E60" s="16" t="n"/>
      <c r="F60" s="22">
        <f>IF(OR(D60="",E60=""),"",E60-D60+1)</f>
        <v/>
      </c>
      <c r="G60" s="14" t="n"/>
      <c r="H60" s="14" t="n"/>
    </row>
    <row r="61">
      <c r="A61" s="14" t="n"/>
      <c r="B61" s="19">
        <f>IF(A61="","",IFERROR(INDEX(Doctors!$B$2:$B$200,MATCH(A61,Doctors!$A$2:$A$200,0)),"Unknown Staff ID"))</f>
        <v/>
      </c>
      <c r="C61" s="14" t="n"/>
      <c r="D61" s="16" t="n"/>
      <c r="E61" s="16" t="n"/>
      <c r="F61" s="22">
        <f>IF(OR(D61="",E61=""),"",E61-D61+1)</f>
        <v/>
      </c>
      <c r="G61" s="14" t="n"/>
      <c r="H61" s="14" t="n"/>
    </row>
    <row r="62">
      <c r="A62" s="14" t="n"/>
      <c r="B62" s="19">
        <f>IF(A62="","",IFERROR(INDEX(Doctors!$B$2:$B$200,MATCH(A62,Doctors!$A$2:$A$200,0)),"Unknown Staff ID"))</f>
        <v/>
      </c>
      <c r="C62" s="14" t="n"/>
      <c r="D62" s="16" t="n"/>
      <c r="E62" s="16" t="n"/>
      <c r="F62" s="22">
        <f>IF(OR(D62="",E62=""),"",E62-D62+1)</f>
        <v/>
      </c>
      <c r="G62" s="14" t="n"/>
      <c r="H62" s="14" t="n"/>
    </row>
    <row r="63">
      <c r="A63" s="14" t="n"/>
      <c r="B63" s="19">
        <f>IF(A63="","",IFERROR(INDEX(Doctors!$B$2:$B$200,MATCH(A63,Doctors!$A$2:$A$200,0)),"Unknown Staff ID"))</f>
        <v/>
      </c>
      <c r="C63" s="14" t="n"/>
      <c r="D63" s="16" t="n"/>
      <c r="E63" s="16" t="n"/>
      <c r="F63" s="22">
        <f>IF(OR(D63="",E63=""),"",E63-D63+1)</f>
        <v/>
      </c>
      <c r="G63" s="14" t="n"/>
      <c r="H63" s="14" t="n"/>
    </row>
    <row r="64">
      <c r="A64" s="14" t="n"/>
      <c r="B64" s="19">
        <f>IF(A64="","",IFERROR(INDEX(Doctors!$B$2:$B$200,MATCH(A64,Doctors!$A$2:$A$200,0)),"Unknown Staff ID"))</f>
        <v/>
      </c>
      <c r="C64" s="14" t="n"/>
      <c r="D64" s="16" t="n"/>
      <c r="E64" s="16" t="n"/>
      <c r="F64" s="22">
        <f>IF(OR(D64="",E64=""),"",E64-D64+1)</f>
        <v/>
      </c>
      <c r="G64" s="14" t="n"/>
      <c r="H64" s="14" t="n"/>
    </row>
    <row r="65">
      <c r="A65" s="14" t="n"/>
      <c r="B65" s="19">
        <f>IF(A65="","",IFERROR(INDEX(Doctors!$B$2:$B$200,MATCH(A65,Doctors!$A$2:$A$200,0)),"Unknown Staff ID"))</f>
        <v/>
      </c>
      <c r="C65" s="14" t="n"/>
      <c r="D65" s="16" t="n"/>
      <c r="E65" s="16" t="n"/>
      <c r="F65" s="22">
        <f>IF(OR(D65="",E65=""),"",E65-D65+1)</f>
        <v/>
      </c>
      <c r="G65" s="14" t="n"/>
      <c r="H65" s="14" t="n"/>
    </row>
    <row r="66">
      <c r="A66" s="14" t="n"/>
      <c r="B66" s="19">
        <f>IF(A66="","",IFERROR(INDEX(Doctors!$B$2:$B$200,MATCH(A66,Doctors!$A$2:$A$200,0)),"Unknown Staff ID"))</f>
        <v/>
      </c>
      <c r="C66" s="14" t="n"/>
      <c r="D66" s="16" t="n"/>
      <c r="E66" s="16" t="n"/>
      <c r="F66" s="22">
        <f>IF(OR(D66="",E66=""),"",E66-D66+1)</f>
        <v/>
      </c>
      <c r="G66" s="14" t="n"/>
      <c r="H66" s="14" t="n"/>
    </row>
    <row r="67">
      <c r="A67" s="14" t="n"/>
      <c r="B67" s="19">
        <f>IF(A67="","",IFERROR(INDEX(Doctors!$B$2:$B$200,MATCH(A67,Doctors!$A$2:$A$200,0)),"Unknown Staff ID"))</f>
        <v/>
      </c>
      <c r="C67" s="14" t="n"/>
      <c r="D67" s="16" t="n"/>
      <c r="E67" s="16" t="n"/>
      <c r="F67" s="22">
        <f>IF(OR(D67="",E67=""),"",E67-D67+1)</f>
        <v/>
      </c>
      <c r="G67" s="14" t="n"/>
      <c r="H67" s="14" t="n"/>
    </row>
    <row r="68">
      <c r="A68" s="14" t="n"/>
      <c r="B68" s="19">
        <f>IF(A68="","",IFERROR(INDEX(Doctors!$B$2:$B$200,MATCH(A68,Doctors!$A$2:$A$200,0)),"Unknown Staff ID"))</f>
        <v/>
      </c>
      <c r="C68" s="14" t="n"/>
      <c r="D68" s="16" t="n"/>
      <c r="E68" s="16" t="n"/>
      <c r="F68" s="22">
        <f>IF(OR(D68="",E68=""),"",E68-D68+1)</f>
        <v/>
      </c>
      <c r="G68" s="14" t="n"/>
      <c r="H68" s="14" t="n"/>
    </row>
    <row r="69">
      <c r="A69" s="14" t="n"/>
      <c r="B69" s="19">
        <f>IF(A69="","",IFERROR(INDEX(Doctors!$B$2:$B$200,MATCH(A69,Doctors!$A$2:$A$200,0)),"Unknown Staff ID"))</f>
        <v/>
      </c>
      <c r="C69" s="14" t="n"/>
      <c r="D69" s="16" t="n"/>
      <c r="E69" s="16" t="n"/>
      <c r="F69" s="22">
        <f>IF(OR(D69="",E69=""),"",E69-D69+1)</f>
        <v/>
      </c>
      <c r="G69" s="14" t="n"/>
      <c r="H69" s="14" t="n"/>
    </row>
    <row r="70">
      <c r="A70" s="14" t="n"/>
      <c r="B70" s="19">
        <f>IF(A70="","",IFERROR(INDEX(Doctors!$B$2:$B$200,MATCH(A70,Doctors!$A$2:$A$200,0)),"Unknown Staff ID"))</f>
        <v/>
      </c>
      <c r="C70" s="14" t="n"/>
      <c r="D70" s="16" t="n"/>
      <c r="E70" s="16" t="n"/>
      <c r="F70" s="22">
        <f>IF(OR(D70="",E70=""),"",E70-D70+1)</f>
        <v/>
      </c>
      <c r="G70" s="14" t="n"/>
      <c r="H70" s="14" t="n"/>
    </row>
    <row r="71">
      <c r="A71" s="14" t="n"/>
      <c r="B71" s="19">
        <f>IF(A71="","",IFERROR(INDEX(Doctors!$B$2:$B$200,MATCH(A71,Doctors!$A$2:$A$200,0)),"Unknown Staff ID"))</f>
        <v/>
      </c>
      <c r="C71" s="14" t="n"/>
      <c r="D71" s="16" t="n"/>
      <c r="E71" s="16" t="n"/>
      <c r="F71" s="22">
        <f>IF(OR(D71="",E71=""),"",E71-D71+1)</f>
        <v/>
      </c>
      <c r="G71" s="14" t="n"/>
      <c r="H71" s="14" t="n"/>
    </row>
    <row r="72">
      <c r="A72" s="14" t="n"/>
      <c r="B72" s="19">
        <f>IF(A72="","",IFERROR(INDEX(Doctors!$B$2:$B$200,MATCH(A72,Doctors!$A$2:$A$200,0)),"Unknown Staff ID"))</f>
        <v/>
      </c>
      <c r="C72" s="14" t="n"/>
      <c r="D72" s="16" t="n"/>
      <c r="E72" s="16" t="n"/>
      <c r="F72" s="22">
        <f>IF(OR(D72="",E72=""),"",E72-D72+1)</f>
        <v/>
      </c>
      <c r="G72" s="14" t="n"/>
      <c r="H72" s="14" t="n"/>
    </row>
    <row r="73">
      <c r="A73" s="14" t="n"/>
      <c r="B73" s="19">
        <f>IF(A73="","",IFERROR(INDEX(Doctors!$B$2:$B$200,MATCH(A73,Doctors!$A$2:$A$200,0)),"Unknown Staff ID"))</f>
        <v/>
      </c>
      <c r="C73" s="14" t="n"/>
      <c r="D73" s="16" t="n"/>
      <c r="E73" s="16" t="n"/>
      <c r="F73" s="22">
        <f>IF(OR(D73="",E73=""),"",E73-D73+1)</f>
        <v/>
      </c>
      <c r="G73" s="14" t="n"/>
      <c r="H73" s="14" t="n"/>
    </row>
    <row r="74">
      <c r="A74" s="14" t="n"/>
      <c r="B74" s="19">
        <f>IF(A74="","",IFERROR(INDEX(Doctors!$B$2:$B$200,MATCH(A74,Doctors!$A$2:$A$200,0)),"Unknown Staff ID"))</f>
        <v/>
      </c>
      <c r="C74" s="14" t="n"/>
      <c r="D74" s="16" t="n"/>
      <c r="E74" s="16" t="n"/>
      <c r="F74" s="22">
        <f>IF(OR(D74="",E74=""),"",E74-D74+1)</f>
        <v/>
      </c>
      <c r="G74" s="14" t="n"/>
      <c r="H74" s="14" t="n"/>
    </row>
    <row r="75">
      <c r="A75" s="14" t="n"/>
      <c r="B75" s="19">
        <f>IF(A75="","",IFERROR(INDEX(Doctors!$B$2:$B$200,MATCH(A75,Doctors!$A$2:$A$200,0)),"Unknown Staff ID"))</f>
        <v/>
      </c>
      <c r="C75" s="14" t="n"/>
      <c r="D75" s="16" t="n"/>
      <c r="E75" s="16" t="n"/>
      <c r="F75" s="22">
        <f>IF(OR(D75="",E75=""),"",E75-D75+1)</f>
        <v/>
      </c>
      <c r="G75" s="14" t="n"/>
      <c r="H75" s="14" t="n"/>
    </row>
    <row r="76">
      <c r="A76" s="14" t="n"/>
      <c r="B76" s="19">
        <f>IF(A76="","",IFERROR(INDEX(Doctors!$B$2:$B$200,MATCH(A76,Doctors!$A$2:$A$200,0)),"Unknown Staff ID"))</f>
        <v/>
      </c>
      <c r="C76" s="14" t="n"/>
      <c r="D76" s="16" t="n"/>
      <c r="E76" s="16" t="n"/>
      <c r="F76" s="22">
        <f>IF(OR(D76="",E76=""),"",E76-D76+1)</f>
        <v/>
      </c>
      <c r="G76" s="14" t="n"/>
      <c r="H76" s="14" t="n"/>
    </row>
    <row r="77">
      <c r="A77" s="14" t="n"/>
      <c r="B77" s="19">
        <f>IF(A77="","",IFERROR(INDEX(Doctors!$B$2:$B$200,MATCH(A77,Doctors!$A$2:$A$200,0)),"Unknown Staff ID"))</f>
        <v/>
      </c>
      <c r="C77" s="14" t="n"/>
      <c r="D77" s="16" t="n"/>
      <c r="E77" s="16" t="n"/>
      <c r="F77" s="22">
        <f>IF(OR(D77="",E77=""),"",E77-D77+1)</f>
        <v/>
      </c>
      <c r="G77" s="14" t="n"/>
      <c r="H77" s="14" t="n"/>
    </row>
    <row r="78">
      <c r="A78" s="14" t="n"/>
      <c r="B78" s="19">
        <f>IF(A78="","",IFERROR(INDEX(Doctors!$B$2:$B$200,MATCH(A78,Doctors!$A$2:$A$200,0)),"Unknown Staff ID"))</f>
        <v/>
      </c>
      <c r="C78" s="14" t="n"/>
      <c r="D78" s="16" t="n"/>
      <c r="E78" s="16" t="n"/>
      <c r="F78" s="22">
        <f>IF(OR(D78="",E78=""),"",E78-D78+1)</f>
        <v/>
      </c>
      <c r="G78" s="14" t="n"/>
      <c r="H78" s="14" t="n"/>
    </row>
    <row r="79">
      <c r="A79" s="14" t="n"/>
      <c r="B79" s="19">
        <f>IF(A79="","",IFERROR(INDEX(Doctors!$B$2:$B$200,MATCH(A79,Doctors!$A$2:$A$200,0)),"Unknown Staff ID"))</f>
        <v/>
      </c>
      <c r="C79" s="14" t="n"/>
      <c r="D79" s="16" t="n"/>
      <c r="E79" s="16" t="n"/>
      <c r="F79" s="22">
        <f>IF(OR(D79="",E79=""),"",E79-D79+1)</f>
        <v/>
      </c>
      <c r="G79" s="14" t="n"/>
      <c r="H79" s="14" t="n"/>
    </row>
    <row r="80">
      <c r="A80" s="14" t="n"/>
      <c r="B80" s="19">
        <f>IF(A80="","",IFERROR(INDEX(Doctors!$B$2:$B$200,MATCH(A80,Doctors!$A$2:$A$200,0)),"Unknown Staff ID"))</f>
        <v/>
      </c>
      <c r="C80" s="14" t="n"/>
      <c r="D80" s="16" t="n"/>
      <c r="E80" s="16" t="n"/>
      <c r="F80" s="22">
        <f>IF(OR(D80="",E80=""),"",E80-D80+1)</f>
        <v/>
      </c>
      <c r="G80" s="14" t="n"/>
      <c r="H80" s="14" t="n"/>
    </row>
    <row r="81">
      <c r="A81" s="14" t="n"/>
      <c r="B81" s="19">
        <f>IF(A81="","",IFERROR(INDEX(Doctors!$B$2:$B$200,MATCH(A81,Doctors!$A$2:$A$200,0)),"Unknown Staff ID"))</f>
        <v/>
      </c>
      <c r="C81" s="14" t="n"/>
      <c r="D81" s="16" t="n"/>
      <c r="E81" s="16" t="n"/>
      <c r="F81" s="22">
        <f>IF(OR(D81="",E81=""),"",E81-D81+1)</f>
        <v/>
      </c>
      <c r="G81" s="14" t="n"/>
      <c r="H81" s="14" t="n"/>
    </row>
    <row r="82">
      <c r="A82" s="14" t="n"/>
      <c r="B82" s="19">
        <f>IF(A82="","",IFERROR(INDEX(Doctors!$B$2:$B$200,MATCH(A82,Doctors!$A$2:$A$200,0)),"Unknown Staff ID"))</f>
        <v/>
      </c>
      <c r="C82" s="14" t="n"/>
      <c r="D82" s="16" t="n"/>
      <c r="E82" s="16" t="n"/>
      <c r="F82" s="22">
        <f>IF(OR(D82="",E82=""),"",E82-D82+1)</f>
        <v/>
      </c>
      <c r="G82" s="14" t="n"/>
      <c r="H82" s="14" t="n"/>
    </row>
    <row r="83">
      <c r="A83" s="14" t="n"/>
      <c r="B83" s="19">
        <f>IF(A83="","",IFERROR(INDEX(Doctors!$B$2:$B$200,MATCH(A83,Doctors!$A$2:$A$200,0)),"Unknown Staff ID"))</f>
        <v/>
      </c>
      <c r="C83" s="14" t="n"/>
      <c r="D83" s="16" t="n"/>
      <c r="E83" s="16" t="n"/>
      <c r="F83" s="22">
        <f>IF(OR(D83="",E83=""),"",E83-D83+1)</f>
        <v/>
      </c>
      <c r="G83" s="14" t="n"/>
      <c r="H83" s="14" t="n"/>
    </row>
    <row r="84">
      <c r="A84" s="14" t="n"/>
      <c r="B84" s="19">
        <f>IF(A84="","",IFERROR(INDEX(Doctors!$B$2:$B$200,MATCH(A84,Doctors!$A$2:$A$200,0)),"Unknown Staff ID"))</f>
        <v/>
      </c>
      <c r="C84" s="14" t="n"/>
      <c r="D84" s="16" t="n"/>
      <c r="E84" s="16" t="n"/>
      <c r="F84" s="22">
        <f>IF(OR(D84="",E84=""),"",E84-D84+1)</f>
        <v/>
      </c>
      <c r="G84" s="14" t="n"/>
      <c r="H84" s="14" t="n"/>
    </row>
    <row r="85">
      <c r="A85" s="14" t="n"/>
      <c r="B85" s="19">
        <f>IF(A85="","",IFERROR(INDEX(Doctors!$B$2:$B$200,MATCH(A85,Doctors!$A$2:$A$200,0)),"Unknown Staff ID"))</f>
        <v/>
      </c>
      <c r="C85" s="14" t="n"/>
      <c r="D85" s="16" t="n"/>
      <c r="E85" s="16" t="n"/>
      <c r="F85" s="22">
        <f>IF(OR(D85="",E85=""),"",E85-D85+1)</f>
        <v/>
      </c>
      <c r="G85" s="14" t="n"/>
      <c r="H85" s="14" t="n"/>
    </row>
    <row r="86">
      <c r="A86" s="14" t="n"/>
      <c r="B86" s="19">
        <f>IF(A86="","",IFERROR(INDEX(Doctors!$B$2:$B$200,MATCH(A86,Doctors!$A$2:$A$200,0)),"Unknown Staff ID"))</f>
        <v/>
      </c>
      <c r="C86" s="14" t="n"/>
      <c r="D86" s="16" t="n"/>
      <c r="E86" s="16" t="n"/>
      <c r="F86" s="22">
        <f>IF(OR(D86="",E86=""),"",E86-D86+1)</f>
        <v/>
      </c>
      <c r="G86" s="14" t="n"/>
      <c r="H86" s="14" t="n"/>
    </row>
    <row r="87">
      <c r="A87" s="14" t="n"/>
      <c r="B87" s="19">
        <f>IF(A87="","",IFERROR(INDEX(Doctors!$B$2:$B$200,MATCH(A87,Doctors!$A$2:$A$200,0)),"Unknown Staff ID"))</f>
        <v/>
      </c>
      <c r="C87" s="14" t="n"/>
      <c r="D87" s="16" t="n"/>
      <c r="E87" s="16" t="n"/>
      <c r="F87" s="22">
        <f>IF(OR(D87="",E87=""),"",E87-D87+1)</f>
        <v/>
      </c>
      <c r="G87" s="14" t="n"/>
      <c r="H87" s="14" t="n"/>
    </row>
    <row r="88">
      <c r="A88" s="14" t="n"/>
      <c r="B88" s="19">
        <f>IF(A88="","",IFERROR(INDEX(Doctors!$B$2:$B$200,MATCH(A88,Doctors!$A$2:$A$200,0)),"Unknown Staff ID"))</f>
        <v/>
      </c>
      <c r="C88" s="14" t="n"/>
      <c r="D88" s="16" t="n"/>
      <c r="E88" s="16" t="n"/>
      <c r="F88" s="22">
        <f>IF(OR(D88="",E88=""),"",E88-D88+1)</f>
        <v/>
      </c>
      <c r="G88" s="14" t="n"/>
      <c r="H88" s="14" t="n"/>
    </row>
    <row r="89">
      <c r="A89" s="14" t="n"/>
      <c r="B89" s="19">
        <f>IF(A89="","",IFERROR(INDEX(Doctors!$B$2:$B$200,MATCH(A89,Doctors!$A$2:$A$200,0)),"Unknown Staff ID"))</f>
        <v/>
      </c>
      <c r="C89" s="14" t="n"/>
      <c r="D89" s="16" t="n"/>
      <c r="E89" s="16" t="n"/>
      <c r="F89" s="22">
        <f>IF(OR(D89="",E89=""),"",E89-D89+1)</f>
        <v/>
      </c>
      <c r="G89" s="14" t="n"/>
      <c r="H89" s="14" t="n"/>
    </row>
    <row r="90">
      <c r="A90" s="14" t="n"/>
      <c r="B90" s="19">
        <f>IF(A90="","",IFERROR(INDEX(Doctors!$B$2:$B$200,MATCH(A90,Doctors!$A$2:$A$200,0)),"Unknown Staff ID"))</f>
        <v/>
      </c>
      <c r="C90" s="14" t="n"/>
      <c r="D90" s="16" t="n"/>
      <c r="E90" s="16" t="n"/>
      <c r="F90" s="22">
        <f>IF(OR(D90="",E90=""),"",E90-D90+1)</f>
        <v/>
      </c>
      <c r="G90" s="14" t="n"/>
      <c r="H90" s="14" t="n"/>
    </row>
    <row r="91">
      <c r="A91" s="14" t="n"/>
      <c r="B91" s="19">
        <f>IF(A91="","",IFERROR(INDEX(Doctors!$B$2:$B$200,MATCH(A91,Doctors!$A$2:$A$200,0)),"Unknown Staff ID"))</f>
        <v/>
      </c>
      <c r="C91" s="14" t="n"/>
      <c r="D91" s="16" t="n"/>
      <c r="E91" s="16" t="n"/>
      <c r="F91" s="22">
        <f>IF(OR(D91="",E91=""),"",E91-D91+1)</f>
        <v/>
      </c>
      <c r="G91" s="14" t="n"/>
      <c r="H91" s="14" t="n"/>
    </row>
    <row r="92">
      <c r="A92" s="14" t="n"/>
      <c r="B92" s="19">
        <f>IF(A92="","",IFERROR(INDEX(Doctors!$B$2:$B$200,MATCH(A92,Doctors!$A$2:$A$200,0)),"Unknown Staff ID"))</f>
        <v/>
      </c>
      <c r="C92" s="14" t="n"/>
      <c r="D92" s="16" t="n"/>
      <c r="E92" s="16" t="n"/>
      <c r="F92" s="22">
        <f>IF(OR(D92="",E92=""),"",E92-D92+1)</f>
        <v/>
      </c>
      <c r="G92" s="14" t="n"/>
      <c r="H92" s="14" t="n"/>
    </row>
    <row r="93">
      <c r="A93" s="14" t="n"/>
      <c r="B93" s="19">
        <f>IF(A93="","",IFERROR(INDEX(Doctors!$B$2:$B$200,MATCH(A93,Doctors!$A$2:$A$200,0)),"Unknown Staff ID"))</f>
        <v/>
      </c>
      <c r="C93" s="14" t="n"/>
      <c r="D93" s="16" t="n"/>
      <c r="E93" s="16" t="n"/>
      <c r="F93" s="22">
        <f>IF(OR(D93="",E93=""),"",E93-D93+1)</f>
        <v/>
      </c>
      <c r="G93" s="14" t="n"/>
      <c r="H93" s="14" t="n"/>
    </row>
    <row r="94">
      <c r="A94" s="14" t="n"/>
      <c r="B94" s="19">
        <f>IF(A94="","",IFERROR(INDEX(Doctors!$B$2:$B$200,MATCH(A94,Doctors!$A$2:$A$200,0)),"Unknown Staff ID"))</f>
        <v/>
      </c>
      <c r="C94" s="14" t="n"/>
      <c r="D94" s="16" t="n"/>
      <c r="E94" s="16" t="n"/>
      <c r="F94" s="22">
        <f>IF(OR(D94="",E94=""),"",E94-D94+1)</f>
        <v/>
      </c>
      <c r="G94" s="14" t="n"/>
      <c r="H94" s="14" t="n"/>
    </row>
    <row r="95">
      <c r="A95" s="14" t="n"/>
      <c r="B95" s="19">
        <f>IF(A95="","",IFERROR(INDEX(Doctors!$B$2:$B$200,MATCH(A95,Doctors!$A$2:$A$200,0)),"Unknown Staff ID"))</f>
        <v/>
      </c>
      <c r="C95" s="14" t="n"/>
      <c r="D95" s="16" t="n"/>
      <c r="E95" s="16" t="n"/>
      <c r="F95" s="22">
        <f>IF(OR(D95="",E95=""),"",E95-D95+1)</f>
        <v/>
      </c>
      <c r="G95" s="14" t="n"/>
      <c r="H95" s="14" t="n"/>
    </row>
    <row r="96">
      <c r="A96" s="14" t="n"/>
      <c r="B96" s="19">
        <f>IF(A96="","",IFERROR(INDEX(Doctors!$B$2:$B$200,MATCH(A96,Doctors!$A$2:$A$200,0)),"Unknown Staff ID"))</f>
        <v/>
      </c>
      <c r="C96" s="14" t="n"/>
      <c r="D96" s="16" t="n"/>
      <c r="E96" s="16" t="n"/>
      <c r="F96" s="22">
        <f>IF(OR(D96="",E96=""),"",E96-D96+1)</f>
        <v/>
      </c>
      <c r="G96" s="14" t="n"/>
      <c r="H96" s="14" t="n"/>
    </row>
    <row r="97">
      <c r="A97" s="14" t="n"/>
      <c r="B97" s="19">
        <f>IF(A97="","",IFERROR(INDEX(Doctors!$B$2:$B$200,MATCH(A97,Doctors!$A$2:$A$200,0)),"Unknown Staff ID"))</f>
        <v/>
      </c>
      <c r="C97" s="14" t="n"/>
      <c r="D97" s="16" t="n"/>
      <c r="E97" s="16" t="n"/>
      <c r="F97" s="22">
        <f>IF(OR(D97="",E97=""),"",E97-D97+1)</f>
        <v/>
      </c>
      <c r="G97" s="14" t="n"/>
      <c r="H97" s="14" t="n"/>
    </row>
    <row r="98">
      <c r="A98" s="14" t="n"/>
      <c r="B98" s="19">
        <f>IF(A98="","",IFERROR(INDEX(Doctors!$B$2:$B$200,MATCH(A98,Doctors!$A$2:$A$200,0)),"Unknown Staff ID"))</f>
        <v/>
      </c>
      <c r="C98" s="14" t="n"/>
      <c r="D98" s="16" t="n"/>
      <c r="E98" s="16" t="n"/>
      <c r="F98" s="22">
        <f>IF(OR(D98="",E98=""),"",E98-D98+1)</f>
        <v/>
      </c>
      <c r="G98" s="14" t="n"/>
      <c r="H98" s="14" t="n"/>
    </row>
    <row r="99">
      <c r="A99" s="14" t="n"/>
      <c r="B99" s="19">
        <f>IF(A99="","",IFERROR(INDEX(Doctors!$B$2:$B$200,MATCH(A99,Doctors!$A$2:$A$200,0)),"Unknown Staff ID"))</f>
        <v/>
      </c>
      <c r="C99" s="14" t="n"/>
      <c r="D99" s="16" t="n"/>
      <c r="E99" s="16" t="n"/>
      <c r="F99" s="22">
        <f>IF(OR(D99="",E99=""),"",E99-D99+1)</f>
        <v/>
      </c>
      <c r="G99" s="14" t="n"/>
      <c r="H99" s="14" t="n"/>
    </row>
    <row r="100">
      <c r="A100" s="14" t="n"/>
      <c r="B100" s="19">
        <f>IF(A100="","",IFERROR(INDEX(Doctors!$B$2:$B$200,MATCH(A100,Doctors!$A$2:$A$200,0)),"Unknown Staff ID"))</f>
        <v/>
      </c>
      <c r="C100" s="14" t="n"/>
      <c r="D100" s="16" t="n"/>
      <c r="E100" s="16" t="n"/>
      <c r="F100" s="22">
        <f>IF(OR(D100="",E100=""),"",E100-D100+1)</f>
        <v/>
      </c>
      <c r="G100" s="14" t="n"/>
      <c r="H100" s="14" t="n"/>
    </row>
    <row r="101">
      <c r="A101" s="14" t="n"/>
      <c r="B101" s="19">
        <f>IF(A101="","",IFERROR(INDEX(Doctors!$B$2:$B$200,MATCH(A101,Doctors!$A$2:$A$200,0)),"Unknown Staff ID"))</f>
        <v/>
      </c>
      <c r="C101" s="14" t="n"/>
      <c r="D101" s="16" t="n"/>
      <c r="E101" s="16" t="n"/>
      <c r="F101" s="22">
        <f>IF(OR(D101="",E101=""),"",E101-D101+1)</f>
        <v/>
      </c>
      <c r="G101" s="14" t="n"/>
      <c r="H101" s="14" t="n"/>
    </row>
    <row r="102">
      <c r="A102" s="14" t="n"/>
      <c r="B102" s="19">
        <f>IF(A102="","",IFERROR(INDEX(Doctors!$B$2:$B$200,MATCH(A102,Doctors!$A$2:$A$200,0)),"Unknown Staff ID"))</f>
        <v/>
      </c>
      <c r="C102" s="14" t="n"/>
      <c r="D102" s="16" t="n"/>
      <c r="E102" s="16" t="n"/>
      <c r="F102" s="22">
        <f>IF(OR(D102="",E102=""),"",E102-D102+1)</f>
        <v/>
      </c>
      <c r="G102" s="14" t="n"/>
      <c r="H102" s="14" t="n"/>
    </row>
    <row r="103">
      <c r="A103" s="14" t="n"/>
      <c r="B103" s="19">
        <f>IF(A103="","",IFERROR(INDEX(Doctors!$B$2:$B$200,MATCH(A103,Doctors!$A$2:$A$200,0)),"Unknown Staff ID"))</f>
        <v/>
      </c>
      <c r="C103" s="14" t="n"/>
      <c r="D103" s="16" t="n"/>
      <c r="E103" s="16" t="n"/>
      <c r="F103" s="22">
        <f>IF(OR(D103="",E103=""),"",E103-D103+1)</f>
        <v/>
      </c>
      <c r="G103" s="14" t="n"/>
      <c r="H103" s="14" t="n"/>
    </row>
    <row r="104">
      <c r="A104" s="14" t="n"/>
      <c r="B104" s="19">
        <f>IF(A104="","",IFERROR(INDEX(Doctors!$B$2:$B$200,MATCH(A104,Doctors!$A$2:$A$200,0)),"Unknown Staff ID"))</f>
        <v/>
      </c>
      <c r="C104" s="14" t="n"/>
      <c r="D104" s="16" t="n"/>
      <c r="E104" s="16" t="n"/>
      <c r="F104" s="22">
        <f>IF(OR(D104="",E104=""),"",E104-D104+1)</f>
        <v/>
      </c>
      <c r="G104" s="14" t="n"/>
      <c r="H104" s="14" t="n"/>
    </row>
    <row r="105">
      <c r="A105" s="14" t="n"/>
      <c r="B105" s="19">
        <f>IF(A105="","",IFERROR(INDEX(Doctors!$B$2:$B$200,MATCH(A105,Doctors!$A$2:$A$200,0)),"Unknown Staff ID"))</f>
        <v/>
      </c>
      <c r="C105" s="14" t="n"/>
      <c r="D105" s="16" t="n"/>
      <c r="E105" s="16" t="n"/>
      <c r="F105" s="22">
        <f>IF(OR(D105="",E105=""),"",E105-D105+1)</f>
        <v/>
      </c>
      <c r="G105" s="14" t="n"/>
      <c r="H105" s="14" t="n"/>
    </row>
    <row r="106">
      <c r="A106" s="14" t="n"/>
      <c r="B106" s="19">
        <f>IF(A106="","",IFERROR(INDEX(Doctors!$B$2:$B$200,MATCH(A106,Doctors!$A$2:$A$200,0)),"Unknown Staff ID"))</f>
        <v/>
      </c>
      <c r="C106" s="14" t="n"/>
      <c r="D106" s="16" t="n"/>
      <c r="E106" s="16" t="n"/>
      <c r="F106" s="22">
        <f>IF(OR(D106="",E106=""),"",E106-D106+1)</f>
        <v/>
      </c>
      <c r="G106" s="14" t="n"/>
      <c r="H106" s="14" t="n"/>
    </row>
    <row r="107">
      <c r="A107" s="14" t="n"/>
      <c r="B107" s="19">
        <f>IF(A107="","",IFERROR(INDEX(Doctors!$B$2:$B$200,MATCH(A107,Doctors!$A$2:$A$200,0)),"Unknown Staff ID"))</f>
        <v/>
      </c>
      <c r="C107" s="14" t="n"/>
      <c r="D107" s="16" t="n"/>
      <c r="E107" s="16" t="n"/>
      <c r="F107" s="22">
        <f>IF(OR(D107="",E107=""),"",E107-D107+1)</f>
        <v/>
      </c>
      <c r="G107" s="14" t="n"/>
      <c r="H107" s="14" t="n"/>
    </row>
    <row r="108">
      <c r="A108" s="14" t="n"/>
      <c r="B108" s="19">
        <f>IF(A108="","",IFERROR(INDEX(Doctors!$B$2:$B$200,MATCH(A108,Doctors!$A$2:$A$200,0)),"Unknown Staff ID"))</f>
        <v/>
      </c>
      <c r="C108" s="14" t="n"/>
      <c r="D108" s="16" t="n"/>
      <c r="E108" s="16" t="n"/>
      <c r="F108" s="22">
        <f>IF(OR(D108="",E108=""),"",E108-D108+1)</f>
        <v/>
      </c>
      <c r="G108" s="14" t="n"/>
      <c r="H108" s="14" t="n"/>
    </row>
    <row r="109">
      <c r="A109" s="14" t="n"/>
      <c r="B109" s="19">
        <f>IF(A109="","",IFERROR(INDEX(Doctors!$B$2:$B$200,MATCH(A109,Doctors!$A$2:$A$200,0)),"Unknown Staff ID"))</f>
        <v/>
      </c>
      <c r="C109" s="14" t="n"/>
      <c r="D109" s="16" t="n"/>
      <c r="E109" s="16" t="n"/>
      <c r="F109" s="22">
        <f>IF(OR(D109="",E109=""),"",E109-D109+1)</f>
        <v/>
      </c>
      <c r="G109" s="14" t="n"/>
      <c r="H109" s="14" t="n"/>
    </row>
    <row r="110">
      <c r="A110" s="14" t="n"/>
      <c r="B110" s="19">
        <f>IF(A110="","",IFERROR(INDEX(Doctors!$B$2:$B$200,MATCH(A110,Doctors!$A$2:$A$200,0)),"Unknown Staff ID"))</f>
        <v/>
      </c>
      <c r="C110" s="14" t="n"/>
      <c r="D110" s="16" t="n"/>
      <c r="E110" s="16" t="n"/>
      <c r="F110" s="22">
        <f>IF(OR(D110="",E110=""),"",E110-D110+1)</f>
        <v/>
      </c>
      <c r="G110" s="14" t="n"/>
      <c r="H110" s="14" t="n"/>
    </row>
    <row r="111">
      <c r="A111" s="14" t="n"/>
      <c r="B111" s="19">
        <f>IF(A111="","",IFERROR(INDEX(Doctors!$B$2:$B$200,MATCH(A111,Doctors!$A$2:$A$200,0)),"Unknown Staff ID"))</f>
        <v/>
      </c>
      <c r="C111" s="14" t="n"/>
      <c r="D111" s="16" t="n"/>
      <c r="E111" s="16" t="n"/>
      <c r="F111" s="22">
        <f>IF(OR(D111="",E111=""),"",E111-D111+1)</f>
        <v/>
      </c>
      <c r="G111" s="14" t="n"/>
      <c r="H111" s="14" t="n"/>
    </row>
    <row r="112">
      <c r="A112" s="14" t="n"/>
      <c r="B112" s="19">
        <f>IF(A112="","",IFERROR(INDEX(Doctors!$B$2:$B$200,MATCH(A112,Doctors!$A$2:$A$200,0)),"Unknown Staff ID"))</f>
        <v/>
      </c>
      <c r="C112" s="14" t="n"/>
      <c r="D112" s="16" t="n"/>
      <c r="E112" s="16" t="n"/>
      <c r="F112" s="22">
        <f>IF(OR(D112="",E112=""),"",E112-D112+1)</f>
        <v/>
      </c>
      <c r="G112" s="14" t="n"/>
      <c r="H112" s="14" t="n"/>
    </row>
    <row r="113">
      <c r="A113" s="14" t="n"/>
      <c r="B113" s="19">
        <f>IF(A113="","",IFERROR(INDEX(Doctors!$B$2:$B$200,MATCH(A113,Doctors!$A$2:$A$200,0)),"Unknown Staff ID"))</f>
        <v/>
      </c>
      <c r="C113" s="14" t="n"/>
      <c r="D113" s="16" t="n"/>
      <c r="E113" s="16" t="n"/>
      <c r="F113" s="22">
        <f>IF(OR(D113="",E113=""),"",E113-D113+1)</f>
        <v/>
      </c>
      <c r="G113" s="14" t="n"/>
      <c r="H113" s="14" t="n"/>
    </row>
    <row r="114">
      <c r="A114" s="14" t="n"/>
      <c r="B114" s="19">
        <f>IF(A114="","",IFERROR(INDEX(Doctors!$B$2:$B$200,MATCH(A114,Doctors!$A$2:$A$200,0)),"Unknown Staff ID"))</f>
        <v/>
      </c>
      <c r="C114" s="14" t="n"/>
      <c r="D114" s="16" t="n"/>
      <c r="E114" s="16" t="n"/>
      <c r="F114" s="22">
        <f>IF(OR(D114="",E114=""),"",E114-D114+1)</f>
        <v/>
      </c>
      <c r="G114" s="14" t="n"/>
      <c r="H114" s="14" t="n"/>
    </row>
    <row r="115">
      <c r="A115" s="14" t="n"/>
      <c r="B115" s="19">
        <f>IF(A115="","",IFERROR(INDEX(Doctors!$B$2:$B$200,MATCH(A115,Doctors!$A$2:$A$200,0)),"Unknown Staff ID"))</f>
        <v/>
      </c>
      <c r="C115" s="14" t="n"/>
      <c r="D115" s="16" t="n"/>
      <c r="E115" s="16" t="n"/>
      <c r="F115" s="22">
        <f>IF(OR(D115="",E115=""),"",E115-D115+1)</f>
        <v/>
      </c>
      <c r="G115" s="14" t="n"/>
      <c r="H115" s="14" t="n"/>
    </row>
    <row r="116">
      <c r="A116" s="14" t="n"/>
      <c r="B116" s="19">
        <f>IF(A116="","",IFERROR(INDEX(Doctors!$B$2:$B$200,MATCH(A116,Doctors!$A$2:$A$200,0)),"Unknown Staff ID"))</f>
        <v/>
      </c>
      <c r="C116" s="14" t="n"/>
      <c r="D116" s="16" t="n"/>
      <c r="E116" s="16" t="n"/>
      <c r="F116" s="22">
        <f>IF(OR(D116="",E116=""),"",E116-D116+1)</f>
        <v/>
      </c>
      <c r="G116" s="14" t="n"/>
      <c r="H116" s="14" t="n"/>
    </row>
    <row r="117">
      <c r="A117" s="14" t="n"/>
      <c r="B117" s="19">
        <f>IF(A117="","",IFERROR(INDEX(Doctors!$B$2:$B$200,MATCH(A117,Doctors!$A$2:$A$200,0)),"Unknown Staff ID"))</f>
        <v/>
      </c>
      <c r="C117" s="14" t="n"/>
      <c r="D117" s="16" t="n"/>
      <c r="E117" s="16" t="n"/>
      <c r="F117" s="22">
        <f>IF(OR(D117="",E117=""),"",E117-D117+1)</f>
        <v/>
      </c>
      <c r="G117" s="14" t="n"/>
      <c r="H117" s="14" t="n"/>
    </row>
    <row r="118">
      <c r="A118" s="14" t="n"/>
      <c r="B118" s="19">
        <f>IF(A118="","",IFERROR(INDEX(Doctors!$B$2:$B$200,MATCH(A118,Doctors!$A$2:$A$200,0)),"Unknown Staff ID"))</f>
        <v/>
      </c>
      <c r="C118" s="14" t="n"/>
      <c r="D118" s="16" t="n"/>
      <c r="E118" s="16" t="n"/>
      <c r="F118" s="22">
        <f>IF(OR(D118="",E118=""),"",E118-D118+1)</f>
        <v/>
      </c>
      <c r="G118" s="14" t="n"/>
      <c r="H118" s="14" t="n"/>
    </row>
    <row r="119">
      <c r="A119" s="14" t="n"/>
      <c r="B119" s="19">
        <f>IF(A119="","",IFERROR(INDEX(Doctors!$B$2:$B$200,MATCH(A119,Doctors!$A$2:$A$200,0)),"Unknown Staff ID"))</f>
        <v/>
      </c>
      <c r="C119" s="14" t="n"/>
      <c r="D119" s="16" t="n"/>
      <c r="E119" s="16" t="n"/>
      <c r="F119" s="22">
        <f>IF(OR(D119="",E119=""),"",E119-D119+1)</f>
        <v/>
      </c>
      <c r="G119" s="14" t="n"/>
      <c r="H119" s="14" t="n"/>
    </row>
    <row r="120">
      <c r="A120" s="14" t="n"/>
      <c r="B120" s="19">
        <f>IF(A120="","",IFERROR(INDEX(Doctors!$B$2:$B$200,MATCH(A120,Doctors!$A$2:$A$200,0)),"Unknown Staff ID"))</f>
        <v/>
      </c>
      <c r="C120" s="14" t="n"/>
      <c r="D120" s="16" t="n"/>
      <c r="E120" s="16" t="n"/>
      <c r="F120" s="22">
        <f>IF(OR(D120="",E120=""),"",E120-D120+1)</f>
        <v/>
      </c>
      <c r="G120" s="14" t="n"/>
      <c r="H120" s="14" t="n"/>
    </row>
    <row r="121">
      <c r="A121" s="14" t="n"/>
      <c r="B121" s="19">
        <f>IF(A121="","",IFERROR(INDEX(Doctors!$B$2:$B$200,MATCH(A121,Doctors!$A$2:$A$200,0)),"Unknown Staff ID"))</f>
        <v/>
      </c>
      <c r="C121" s="14" t="n"/>
      <c r="D121" s="16" t="n"/>
      <c r="E121" s="16" t="n"/>
      <c r="F121" s="22">
        <f>IF(OR(D121="",E121=""),"",E121-D121+1)</f>
        <v/>
      </c>
      <c r="G121" s="14" t="n"/>
      <c r="H121" s="14" t="n"/>
    </row>
    <row r="122">
      <c r="A122" s="14" t="n"/>
      <c r="B122" s="19">
        <f>IF(A122="","",IFERROR(INDEX(Doctors!$B$2:$B$200,MATCH(A122,Doctors!$A$2:$A$200,0)),"Unknown Staff ID"))</f>
        <v/>
      </c>
      <c r="C122" s="14" t="n"/>
      <c r="D122" s="16" t="n"/>
      <c r="E122" s="16" t="n"/>
      <c r="F122" s="22">
        <f>IF(OR(D122="",E122=""),"",E122-D122+1)</f>
        <v/>
      </c>
      <c r="G122" s="14" t="n"/>
      <c r="H122" s="14" t="n"/>
    </row>
    <row r="123">
      <c r="A123" s="14" t="n"/>
      <c r="B123" s="19">
        <f>IF(A123="","",IFERROR(INDEX(Doctors!$B$2:$B$200,MATCH(A123,Doctors!$A$2:$A$200,0)),"Unknown Staff ID"))</f>
        <v/>
      </c>
      <c r="C123" s="14" t="n"/>
      <c r="D123" s="16" t="n"/>
      <c r="E123" s="16" t="n"/>
      <c r="F123" s="22">
        <f>IF(OR(D123="",E123=""),"",E123-D123+1)</f>
        <v/>
      </c>
      <c r="G123" s="14" t="n"/>
      <c r="H123" s="14" t="n"/>
    </row>
    <row r="124">
      <c r="A124" s="14" t="n"/>
      <c r="B124" s="19">
        <f>IF(A124="","",IFERROR(INDEX(Doctors!$B$2:$B$200,MATCH(A124,Doctors!$A$2:$A$200,0)),"Unknown Staff ID"))</f>
        <v/>
      </c>
      <c r="C124" s="14" t="n"/>
      <c r="D124" s="16" t="n"/>
      <c r="E124" s="16" t="n"/>
      <c r="F124" s="22">
        <f>IF(OR(D124="",E124=""),"",E124-D124+1)</f>
        <v/>
      </c>
      <c r="G124" s="14" t="n"/>
      <c r="H124" s="14" t="n"/>
    </row>
    <row r="125">
      <c r="A125" s="14" t="n"/>
      <c r="B125" s="19">
        <f>IF(A125="","",IFERROR(INDEX(Doctors!$B$2:$B$200,MATCH(A125,Doctors!$A$2:$A$200,0)),"Unknown Staff ID"))</f>
        <v/>
      </c>
      <c r="C125" s="14" t="n"/>
      <c r="D125" s="16" t="n"/>
      <c r="E125" s="16" t="n"/>
      <c r="F125" s="22">
        <f>IF(OR(D125="",E125=""),"",E125-D125+1)</f>
        <v/>
      </c>
      <c r="G125" s="14" t="n"/>
      <c r="H125" s="14" t="n"/>
    </row>
    <row r="126">
      <c r="A126" s="14" t="n"/>
      <c r="B126" s="19">
        <f>IF(A126="","",IFERROR(INDEX(Doctors!$B$2:$B$200,MATCH(A126,Doctors!$A$2:$A$200,0)),"Unknown Staff ID"))</f>
        <v/>
      </c>
      <c r="C126" s="14" t="n"/>
      <c r="D126" s="16" t="n"/>
      <c r="E126" s="16" t="n"/>
      <c r="F126" s="22">
        <f>IF(OR(D126="",E126=""),"",E126-D126+1)</f>
        <v/>
      </c>
      <c r="G126" s="14" t="n"/>
      <c r="H126" s="14" t="n"/>
    </row>
    <row r="127">
      <c r="A127" s="14" t="n"/>
      <c r="B127" s="19">
        <f>IF(A127="","",IFERROR(INDEX(Doctors!$B$2:$B$200,MATCH(A127,Doctors!$A$2:$A$200,0)),"Unknown Staff ID"))</f>
        <v/>
      </c>
      <c r="C127" s="14" t="n"/>
      <c r="D127" s="16" t="n"/>
      <c r="E127" s="16" t="n"/>
      <c r="F127" s="22">
        <f>IF(OR(D127="",E127=""),"",E127-D127+1)</f>
        <v/>
      </c>
      <c r="G127" s="14" t="n"/>
      <c r="H127" s="14" t="n"/>
    </row>
    <row r="128">
      <c r="A128" s="14" t="n"/>
      <c r="B128" s="19">
        <f>IF(A128="","",IFERROR(INDEX(Doctors!$B$2:$B$200,MATCH(A128,Doctors!$A$2:$A$200,0)),"Unknown Staff ID"))</f>
        <v/>
      </c>
      <c r="C128" s="14" t="n"/>
      <c r="D128" s="16" t="n"/>
      <c r="E128" s="16" t="n"/>
      <c r="F128" s="22">
        <f>IF(OR(D128="",E128=""),"",E128-D128+1)</f>
        <v/>
      </c>
      <c r="G128" s="14" t="n"/>
      <c r="H128" s="14" t="n"/>
    </row>
    <row r="129">
      <c r="A129" s="14" t="n"/>
      <c r="B129" s="19">
        <f>IF(A129="","",IFERROR(INDEX(Doctors!$B$2:$B$200,MATCH(A129,Doctors!$A$2:$A$200,0)),"Unknown Staff ID"))</f>
        <v/>
      </c>
      <c r="C129" s="14" t="n"/>
      <c r="D129" s="16" t="n"/>
      <c r="E129" s="16" t="n"/>
      <c r="F129" s="22">
        <f>IF(OR(D129="",E129=""),"",E129-D129+1)</f>
        <v/>
      </c>
      <c r="G129" s="14" t="n"/>
      <c r="H129" s="14" t="n"/>
    </row>
    <row r="130">
      <c r="A130" s="14" t="n"/>
      <c r="B130" s="19">
        <f>IF(A130="","",IFERROR(INDEX(Doctors!$B$2:$B$200,MATCH(A130,Doctors!$A$2:$A$200,0)),"Unknown Staff ID"))</f>
        <v/>
      </c>
      <c r="C130" s="14" t="n"/>
      <c r="D130" s="16" t="n"/>
      <c r="E130" s="16" t="n"/>
      <c r="F130" s="22">
        <f>IF(OR(D130="",E130=""),"",E130-D130+1)</f>
        <v/>
      </c>
      <c r="G130" s="14" t="n"/>
      <c r="H130" s="14" t="n"/>
    </row>
    <row r="131">
      <c r="A131" s="14" t="n"/>
      <c r="B131" s="19">
        <f>IF(A131="","",IFERROR(INDEX(Doctors!$B$2:$B$200,MATCH(A131,Doctors!$A$2:$A$200,0)),"Unknown Staff ID"))</f>
        <v/>
      </c>
      <c r="C131" s="14" t="n"/>
      <c r="D131" s="16" t="n"/>
      <c r="E131" s="16" t="n"/>
      <c r="F131" s="22">
        <f>IF(OR(D131="",E131=""),"",E131-D131+1)</f>
        <v/>
      </c>
      <c r="G131" s="14" t="n"/>
      <c r="H131" s="14" t="n"/>
    </row>
    <row r="132">
      <c r="A132" s="14" t="n"/>
      <c r="B132" s="19">
        <f>IF(A132="","",IFERROR(INDEX(Doctors!$B$2:$B$200,MATCH(A132,Doctors!$A$2:$A$200,0)),"Unknown Staff ID"))</f>
        <v/>
      </c>
      <c r="C132" s="14" t="n"/>
      <c r="D132" s="16" t="n"/>
      <c r="E132" s="16" t="n"/>
      <c r="F132" s="22">
        <f>IF(OR(D132="",E132=""),"",E132-D132+1)</f>
        <v/>
      </c>
      <c r="G132" s="14" t="n"/>
      <c r="H132" s="14" t="n"/>
    </row>
    <row r="133">
      <c r="A133" s="14" t="n"/>
      <c r="B133" s="19">
        <f>IF(A133="","",IFERROR(INDEX(Doctors!$B$2:$B$200,MATCH(A133,Doctors!$A$2:$A$200,0)),"Unknown Staff ID"))</f>
        <v/>
      </c>
      <c r="C133" s="14" t="n"/>
      <c r="D133" s="16" t="n"/>
      <c r="E133" s="16" t="n"/>
      <c r="F133" s="22">
        <f>IF(OR(D133="",E133=""),"",E133-D133+1)</f>
        <v/>
      </c>
      <c r="G133" s="14" t="n"/>
      <c r="H133" s="14" t="n"/>
    </row>
    <row r="134">
      <c r="A134" s="14" t="n"/>
      <c r="B134" s="19">
        <f>IF(A134="","",IFERROR(INDEX(Doctors!$B$2:$B$200,MATCH(A134,Doctors!$A$2:$A$200,0)),"Unknown Staff ID"))</f>
        <v/>
      </c>
      <c r="C134" s="14" t="n"/>
      <c r="D134" s="16" t="n"/>
      <c r="E134" s="16" t="n"/>
      <c r="F134" s="22">
        <f>IF(OR(D134="",E134=""),"",E134-D134+1)</f>
        <v/>
      </c>
      <c r="G134" s="14" t="n"/>
      <c r="H134" s="14" t="n"/>
    </row>
    <row r="135">
      <c r="A135" s="14" t="n"/>
      <c r="B135" s="19">
        <f>IF(A135="","",IFERROR(INDEX(Doctors!$B$2:$B$200,MATCH(A135,Doctors!$A$2:$A$200,0)),"Unknown Staff ID"))</f>
        <v/>
      </c>
      <c r="C135" s="14" t="n"/>
      <c r="D135" s="16" t="n"/>
      <c r="E135" s="16" t="n"/>
      <c r="F135" s="22">
        <f>IF(OR(D135="",E135=""),"",E135-D135+1)</f>
        <v/>
      </c>
      <c r="G135" s="14" t="n"/>
      <c r="H135" s="14" t="n"/>
    </row>
    <row r="136">
      <c r="A136" s="14" t="n"/>
      <c r="B136" s="19">
        <f>IF(A136="","",IFERROR(INDEX(Doctors!$B$2:$B$200,MATCH(A136,Doctors!$A$2:$A$200,0)),"Unknown Staff ID"))</f>
        <v/>
      </c>
      <c r="C136" s="14" t="n"/>
      <c r="D136" s="16" t="n"/>
      <c r="E136" s="16" t="n"/>
      <c r="F136" s="22">
        <f>IF(OR(D136="",E136=""),"",E136-D136+1)</f>
        <v/>
      </c>
      <c r="G136" s="14" t="n"/>
      <c r="H136" s="14" t="n"/>
    </row>
    <row r="137">
      <c r="A137" s="14" t="n"/>
      <c r="B137" s="19">
        <f>IF(A137="","",IFERROR(INDEX(Doctors!$B$2:$B$200,MATCH(A137,Doctors!$A$2:$A$200,0)),"Unknown Staff ID"))</f>
        <v/>
      </c>
      <c r="C137" s="14" t="n"/>
      <c r="D137" s="16" t="n"/>
      <c r="E137" s="16" t="n"/>
      <c r="F137" s="22">
        <f>IF(OR(D137="",E137=""),"",E137-D137+1)</f>
        <v/>
      </c>
      <c r="G137" s="14" t="n"/>
      <c r="H137" s="14" t="n"/>
    </row>
    <row r="138">
      <c r="A138" s="14" t="n"/>
      <c r="B138" s="19">
        <f>IF(A138="","",IFERROR(INDEX(Doctors!$B$2:$B$200,MATCH(A138,Doctors!$A$2:$A$200,0)),"Unknown Staff ID"))</f>
        <v/>
      </c>
      <c r="C138" s="14" t="n"/>
      <c r="D138" s="16" t="n"/>
      <c r="E138" s="16" t="n"/>
      <c r="F138" s="22">
        <f>IF(OR(D138="",E138=""),"",E138-D138+1)</f>
        <v/>
      </c>
      <c r="G138" s="14" t="n"/>
      <c r="H138" s="14" t="n"/>
    </row>
    <row r="139">
      <c r="A139" s="14" t="n"/>
      <c r="B139" s="19">
        <f>IF(A139="","",IFERROR(INDEX(Doctors!$B$2:$B$200,MATCH(A139,Doctors!$A$2:$A$200,0)),"Unknown Staff ID"))</f>
        <v/>
      </c>
      <c r="C139" s="14" t="n"/>
      <c r="D139" s="16" t="n"/>
      <c r="E139" s="16" t="n"/>
      <c r="F139" s="22">
        <f>IF(OR(D139="",E139=""),"",E139-D139+1)</f>
        <v/>
      </c>
      <c r="G139" s="14" t="n"/>
      <c r="H139" s="14" t="n"/>
    </row>
    <row r="140">
      <c r="A140" s="14" t="n"/>
      <c r="B140" s="19">
        <f>IF(A140="","",IFERROR(INDEX(Doctors!$B$2:$B$200,MATCH(A140,Doctors!$A$2:$A$200,0)),"Unknown Staff ID"))</f>
        <v/>
      </c>
      <c r="C140" s="14" t="n"/>
      <c r="D140" s="16" t="n"/>
      <c r="E140" s="16" t="n"/>
      <c r="F140" s="22">
        <f>IF(OR(D140="",E140=""),"",E140-D140+1)</f>
        <v/>
      </c>
      <c r="G140" s="14" t="n"/>
      <c r="H140" s="14" t="n"/>
    </row>
    <row r="141">
      <c r="A141" s="14" t="n"/>
      <c r="B141" s="19">
        <f>IF(A141="","",IFERROR(INDEX(Doctors!$B$2:$B$200,MATCH(A141,Doctors!$A$2:$A$200,0)),"Unknown Staff ID"))</f>
        <v/>
      </c>
      <c r="C141" s="14" t="n"/>
      <c r="D141" s="16" t="n"/>
      <c r="E141" s="16" t="n"/>
      <c r="F141" s="22">
        <f>IF(OR(D141="",E141=""),"",E141-D141+1)</f>
        <v/>
      </c>
      <c r="G141" s="14" t="n"/>
      <c r="H141" s="14" t="n"/>
    </row>
    <row r="142">
      <c r="A142" s="14" t="n"/>
      <c r="B142" s="19">
        <f>IF(A142="","",IFERROR(INDEX(Doctors!$B$2:$B$200,MATCH(A142,Doctors!$A$2:$A$200,0)),"Unknown Staff ID"))</f>
        <v/>
      </c>
      <c r="C142" s="14" t="n"/>
      <c r="D142" s="16" t="n"/>
      <c r="E142" s="16" t="n"/>
      <c r="F142" s="22">
        <f>IF(OR(D142="",E142=""),"",E142-D142+1)</f>
        <v/>
      </c>
      <c r="G142" s="14" t="n"/>
      <c r="H142" s="14" t="n"/>
    </row>
    <row r="143">
      <c r="A143" s="14" t="n"/>
      <c r="B143" s="19">
        <f>IF(A143="","",IFERROR(INDEX(Doctors!$B$2:$B$200,MATCH(A143,Doctors!$A$2:$A$200,0)),"Unknown Staff ID"))</f>
        <v/>
      </c>
      <c r="C143" s="14" t="n"/>
      <c r="D143" s="16" t="n"/>
      <c r="E143" s="16" t="n"/>
      <c r="F143" s="22">
        <f>IF(OR(D143="",E143=""),"",E143-D143+1)</f>
        <v/>
      </c>
      <c r="G143" s="14" t="n"/>
      <c r="H143" s="14" t="n"/>
    </row>
    <row r="144">
      <c r="A144" s="14" t="n"/>
      <c r="B144" s="19">
        <f>IF(A144="","",IFERROR(INDEX(Doctors!$B$2:$B$200,MATCH(A144,Doctors!$A$2:$A$200,0)),"Unknown Staff ID"))</f>
        <v/>
      </c>
      <c r="C144" s="14" t="n"/>
      <c r="D144" s="16" t="n"/>
      <c r="E144" s="16" t="n"/>
      <c r="F144" s="22">
        <f>IF(OR(D144="",E144=""),"",E144-D144+1)</f>
        <v/>
      </c>
      <c r="G144" s="14" t="n"/>
      <c r="H144" s="14" t="n"/>
    </row>
    <row r="145">
      <c r="A145" s="14" t="n"/>
      <c r="B145" s="19">
        <f>IF(A145="","",IFERROR(INDEX(Doctors!$B$2:$B$200,MATCH(A145,Doctors!$A$2:$A$200,0)),"Unknown Staff ID"))</f>
        <v/>
      </c>
      <c r="C145" s="14" t="n"/>
      <c r="D145" s="16" t="n"/>
      <c r="E145" s="16" t="n"/>
      <c r="F145" s="22">
        <f>IF(OR(D145="",E145=""),"",E145-D145+1)</f>
        <v/>
      </c>
      <c r="G145" s="14" t="n"/>
      <c r="H145" s="14" t="n"/>
    </row>
    <row r="146">
      <c r="A146" s="14" t="n"/>
      <c r="B146" s="19">
        <f>IF(A146="","",IFERROR(INDEX(Doctors!$B$2:$B$200,MATCH(A146,Doctors!$A$2:$A$200,0)),"Unknown Staff ID"))</f>
        <v/>
      </c>
      <c r="C146" s="14" t="n"/>
      <c r="D146" s="16" t="n"/>
      <c r="E146" s="16" t="n"/>
      <c r="F146" s="22">
        <f>IF(OR(D146="",E146=""),"",E146-D146+1)</f>
        <v/>
      </c>
      <c r="G146" s="14" t="n"/>
      <c r="H146" s="14" t="n"/>
    </row>
    <row r="147">
      <c r="A147" s="14" t="n"/>
      <c r="B147" s="19">
        <f>IF(A147="","",IFERROR(INDEX(Doctors!$B$2:$B$200,MATCH(A147,Doctors!$A$2:$A$200,0)),"Unknown Staff ID"))</f>
        <v/>
      </c>
      <c r="C147" s="14" t="n"/>
      <c r="D147" s="16" t="n"/>
      <c r="E147" s="16" t="n"/>
      <c r="F147" s="22">
        <f>IF(OR(D147="",E147=""),"",E147-D147+1)</f>
        <v/>
      </c>
      <c r="G147" s="14" t="n"/>
      <c r="H147" s="14" t="n"/>
    </row>
    <row r="148">
      <c r="A148" s="14" t="n"/>
      <c r="B148" s="19">
        <f>IF(A148="","",IFERROR(INDEX(Doctors!$B$2:$B$200,MATCH(A148,Doctors!$A$2:$A$200,0)),"Unknown Staff ID"))</f>
        <v/>
      </c>
      <c r="C148" s="14" t="n"/>
      <c r="D148" s="16" t="n"/>
      <c r="E148" s="16" t="n"/>
      <c r="F148" s="22">
        <f>IF(OR(D148="",E148=""),"",E148-D148+1)</f>
        <v/>
      </c>
      <c r="G148" s="14" t="n"/>
      <c r="H148" s="14" t="n"/>
    </row>
    <row r="149">
      <c r="A149" s="14" t="n"/>
      <c r="B149" s="19">
        <f>IF(A149="","",IFERROR(INDEX(Doctors!$B$2:$B$200,MATCH(A149,Doctors!$A$2:$A$200,0)),"Unknown Staff ID"))</f>
        <v/>
      </c>
      <c r="C149" s="14" t="n"/>
      <c r="D149" s="16" t="n"/>
      <c r="E149" s="16" t="n"/>
      <c r="F149" s="22">
        <f>IF(OR(D149="",E149=""),"",E149-D149+1)</f>
        <v/>
      </c>
      <c r="G149" s="14" t="n"/>
      <c r="H149" s="14" t="n"/>
    </row>
    <row r="150">
      <c r="A150" s="14" t="n"/>
      <c r="B150" s="19">
        <f>IF(A150="","",IFERROR(INDEX(Doctors!$B$2:$B$200,MATCH(A150,Doctors!$A$2:$A$200,0)),"Unknown Staff ID"))</f>
        <v/>
      </c>
      <c r="C150" s="14" t="n"/>
      <c r="D150" s="16" t="n"/>
      <c r="E150" s="16" t="n"/>
      <c r="F150" s="22">
        <f>IF(OR(D150="",E150=""),"",E150-D150+1)</f>
        <v/>
      </c>
      <c r="G150" s="14" t="n"/>
      <c r="H150" s="14" t="n"/>
    </row>
    <row r="151">
      <c r="A151" s="14" t="n"/>
      <c r="B151" s="19">
        <f>IF(A151="","",IFERROR(INDEX(Doctors!$B$2:$B$200,MATCH(A151,Doctors!$A$2:$A$200,0)),"Unknown Staff ID"))</f>
        <v/>
      </c>
      <c r="C151" s="14" t="n"/>
      <c r="D151" s="16" t="n"/>
      <c r="E151" s="16" t="n"/>
      <c r="F151" s="22">
        <f>IF(OR(D151="",E151=""),"",E151-D151+1)</f>
        <v/>
      </c>
      <c r="G151" s="14" t="n"/>
      <c r="H151" s="14" t="n"/>
    </row>
    <row r="152">
      <c r="A152" s="14" t="n"/>
      <c r="B152" s="19">
        <f>IF(A152="","",IFERROR(INDEX(Doctors!$B$2:$B$200,MATCH(A152,Doctors!$A$2:$A$200,0)),"Unknown Staff ID"))</f>
        <v/>
      </c>
      <c r="C152" s="14" t="n"/>
      <c r="D152" s="16" t="n"/>
      <c r="E152" s="16" t="n"/>
      <c r="F152" s="22">
        <f>IF(OR(D152="",E152=""),"",E152-D152+1)</f>
        <v/>
      </c>
      <c r="G152" s="14" t="n"/>
      <c r="H152" s="14" t="n"/>
    </row>
    <row r="153">
      <c r="A153" s="14" t="n"/>
      <c r="B153" s="19">
        <f>IF(A153="","",IFERROR(INDEX(Doctors!$B$2:$B$200,MATCH(A153,Doctors!$A$2:$A$200,0)),"Unknown Staff ID"))</f>
        <v/>
      </c>
      <c r="C153" s="14" t="n"/>
      <c r="D153" s="16" t="n"/>
      <c r="E153" s="16" t="n"/>
      <c r="F153" s="22">
        <f>IF(OR(D153="",E153=""),"",E153-D153+1)</f>
        <v/>
      </c>
      <c r="G153" s="14" t="n"/>
      <c r="H153" s="14" t="n"/>
    </row>
    <row r="154">
      <c r="A154" s="14" t="n"/>
      <c r="B154" s="19">
        <f>IF(A154="","",IFERROR(INDEX(Doctors!$B$2:$B$200,MATCH(A154,Doctors!$A$2:$A$200,0)),"Unknown Staff ID"))</f>
        <v/>
      </c>
      <c r="C154" s="14" t="n"/>
      <c r="D154" s="16" t="n"/>
      <c r="E154" s="16" t="n"/>
      <c r="F154" s="22">
        <f>IF(OR(D154="",E154=""),"",E154-D154+1)</f>
        <v/>
      </c>
      <c r="G154" s="14" t="n"/>
      <c r="H154" s="14" t="n"/>
    </row>
    <row r="155">
      <c r="A155" s="14" t="n"/>
      <c r="B155" s="19">
        <f>IF(A155="","",IFERROR(INDEX(Doctors!$B$2:$B$200,MATCH(A155,Doctors!$A$2:$A$200,0)),"Unknown Staff ID"))</f>
        <v/>
      </c>
      <c r="C155" s="14" t="n"/>
      <c r="D155" s="16" t="n"/>
      <c r="E155" s="16" t="n"/>
      <c r="F155" s="22">
        <f>IF(OR(D155="",E155=""),"",E155-D155+1)</f>
        <v/>
      </c>
      <c r="G155" s="14" t="n"/>
      <c r="H155" s="14" t="n"/>
    </row>
    <row r="156">
      <c r="A156" s="14" t="n"/>
      <c r="B156" s="19">
        <f>IF(A156="","",IFERROR(INDEX(Doctors!$B$2:$B$200,MATCH(A156,Doctors!$A$2:$A$200,0)),"Unknown Staff ID"))</f>
        <v/>
      </c>
      <c r="C156" s="14" t="n"/>
      <c r="D156" s="16" t="n"/>
      <c r="E156" s="16" t="n"/>
      <c r="F156" s="22">
        <f>IF(OR(D156="",E156=""),"",E156-D156+1)</f>
        <v/>
      </c>
      <c r="G156" s="14" t="n"/>
      <c r="H156" s="14" t="n"/>
    </row>
    <row r="157">
      <c r="A157" s="14" t="n"/>
      <c r="B157" s="19">
        <f>IF(A157="","",IFERROR(INDEX(Doctors!$B$2:$B$200,MATCH(A157,Doctors!$A$2:$A$200,0)),"Unknown Staff ID"))</f>
        <v/>
      </c>
      <c r="C157" s="14" t="n"/>
      <c r="D157" s="16" t="n"/>
      <c r="E157" s="16" t="n"/>
      <c r="F157" s="22">
        <f>IF(OR(D157="",E157=""),"",E157-D157+1)</f>
        <v/>
      </c>
      <c r="G157" s="14" t="n"/>
      <c r="H157" s="14" t="n"/>
    </row>
    <row r="158">
      <c r="A158" s="14" t="n"/>
      <c r="B158" s="19">
        <f>IF(A158="","",IFERROR(INDEX(Doctors!$B$2:$B$200,MATCH(A158,Doctors!$A$2:$A$200,0)),"Unknown Staff ID"))</f>
        <v/>
      </c>
      <c r="C158" s="14" t="n"/>
      <c r="D158" s="16" t="n"/>
      <c r="E158" s="16" t="n"/>
      <c r="F158" s="22">
        <f>IF(OR(D158="",E158=""),"",E158-D158+1)</f>
        <v/>
      </c>
      <c r="G158" s="14" t="n"/>
      <c r="H158" s="14" t="n"/>
    </row>
    <row r="159">
      <c r="A159" s="14" t="n"/>
      <c r="B159" s="19">
        <f>IF(A159="","",IFERROR(INDEX(Doctors!$B$2:$B$200,MATCH(A159,Doctors!$A$2:$A$200,0)),"Unknown Staff ID"))</f>
        <v/>
      </c>
      <c r="C159" s="14" t="n"/>
      <c r="D159" s="16" t="n"/>
      <c r="E159" s="16" t="n"/>
      <c r="F159" s="22">
        <f>IF(OR(D159="",E159=""),"",E159-D159+1)</f>
        <v/>
      </c>
      <c r="G159" s="14" t="n"/>
      <c r="H159" s="14" t="n"/>
    </row>
    <row r="160">
      <c r="A160" s="14" t="n"/>
      <c r="B160" s="19">
        <f>IF(A160="","",IFERROR(INDEX(Doctors!$B$2:$B$200,MATCH(A160,Doctors!$A$2:$A$200,0)),"Unknown Staff ID"))</f>
        <v/>
      </c>
      <c r="C160" s="14" t="n"/>
      <c r="D160" s="16" t="n"/>
      <c r="E160" s="16" t="n"/>
      <c r="F160" s="22">
        <f>IF(OR(D160="",E160=""),"",E160-D160+1)</f>
        <v/>
      </c>
      <c r="G160" s="14" t="n"/>
      <c r="H160" s="14" t="n"/>
    </row>
    <row r="161">
      <c r="A161" s="14" t="n"/>
      <c r="B161" s="19">
        <f>IF(A161="","",IFERROR(INDEX(Doctors!$B$2:$B$200,MATCH(A161,Doctors!$A$2:$A$200,0)),"Unknown Staff ID"))</f>
        <v/>
      </c>
      <c r="C161" s="14" t="n"/>
      <c r="D161" s="16" t="n"/>
      <c r="E161" s="16" t="n"/>
      <c r="F161" s="22">
        <f>IF(OR(D161="",E161=""),"",E161-D161+1)</f>
        <v/>
      </c>
      <c r="G161" s="14" t="n"/>
      <c r="H161" s="14" t="n"/>
    </row>
    <row r="162">
      <c r="A162" s="14" t="n"/>
      <c r="B162" s="19">
        <f>IF(A162="","",IFERROR(INDEX(Doctors!$B$2:$B$200,MATCH(A162,Doctors!$A$2:$A$200,0)),"Unknown Staff ID"))</f>
        <v/>
      </c>
      <c r="C162" s="14" t="n"/>
      <c r="D162" s="16" t="n"/>
      <c r="E162" s="16" t="n"/>
      <c r="F162" s="22">
        <f>IF(OR(D162="",E162=""),"",E162-D162+1)</f>
        <v/>
      </c>
      <c r="G162" s="14" t="n"/>
      <c r="H162" s="14" t="n"/>
    </row>
    <row r="163">
      <c r="A163" s="14" t="n"/>
      <c r="B163" s="19">
        <f>IF(A163="","",IFERROR(INDEX(Doctors!$B$2:$B$200,MATCH(A163,Doctors!$A$2:$A$200,0)),"Unknown Staff ID"))</f>
        <v/>
      </c>
      <c r="C163" s="14" t="n"/>
      <c r="D163" s="16" t="n"/>
      <c r="E163" s="16" t="n"/>
      <c r="F163" s="22">
        <f>IF(OR(D163="",E163=""),"",E163-D163+1)</f>
        <v/>
      </c>
      <c r="G163" s="14" t="n"/>
      <c r="H163" s="14" t="n"/>
    </row>
    <row r="164">
      <c r="A164" s="14" t="n"/>
      <c r="B164" s="19">
        <f>IF(A164="","",IFERROR(INDEX(Doctors!$B$2:$B$200,MATCH(A164,Doctors!$A$2:$A$200,0)),"Unknown Staff ID"))</f>
        <v/>
      </c>
      <c r="C164" s="14" t="n"/>
      <c r="D164" s="16" t="n"/>
      <c r="E164" s="16" t="n"/>
      <c r="F164" s="22">
        <f>IF(OR(D164="",E164=""),"",E164-D164+1)</f>
        <v/>
      </c>
      <c r="G164" s="14" t="n"/>
      <c r="H164" s="14" t="n"/>
    </row>
    <row r="165">
      <c r="A165" s="14" t="n"/>
      <c r="B165" s="19">
        <f>IF(A165="","",IFERROR(INDEX(Doctors!$B$2:$B$200,MATCH(A165,Doctors!$A$2:$A$200,0)),"Unknown Staff ID"))</f>
        <v/>
      </c>
      <c r="C165" s="14" t="n"/>
      <c r="D165" s="16" t="n"/>
      <c r="E165" s="16" t="n"/>
      <c r="F165" s="22">
        <f>IF(OR(D165="",E165=""),"",E165-D165+1)</f>
        <v/>
      </c>
      <c r="G165" s="14" t="n"/>
      <c r="H165" s="14" t="n"/>
    </row>
    <row r="166">
      <c r="A166" s="14" t="n"/>
      <c r="B166" s="19">
        <f>IF(A166="","",IFERROR(INDEX(Doctors!$B$2:$B$200,MATCH(A166,Doctors!$A$2:$A$200,0)),"Unknown Staff ID"))</f>
        <v/>
      </c>
      <c r="C166" s="14" t="n"/>
      <c r="D166" s="16" t="n"/>
      <c r="E166" s="16" t="n"/>
      <c r="F166" s="22">
        <f>IF(OR(D166="",E166=""),"",E166-D166+1)</f>
        <v/>
      </c>
      <c r="G166" s="14" t="n"/>
      <c r="H166" s="14" t="n"/>
    </row>
    <row r="167">
      <c r="A167" s="14" t="n"/>
      <c r="B167" s="19">
        <f>IF(A167="","",IFERROR(INDEX(Doctors!$B$2:$B$200,MATCH(A167,Doctors!$A$2:$A$200,0)),"Unknown Staff ID"))</f>
        <v/>
      </c>
      <c r="C167" s="14" t="n"/>
      <c r="D167" s="16" t="n"/>
      <c r="E167" s="16" t="n"/>
      <c r="F167" s="22">
        <f>IF(OR(D167="",E167=""),"",E167-D167+1)</f>
        <v/>
      </c>
      <c r="G167" s="14" t="n"/>
      <c r="H167" s="14" t="n"/>
    </row>
    <row r="168">
      <c r="A168" s="14" t="n"/>
      <c r="B168" s="19">
        <f>IF(A168="","",IFERROR(INDEX(Doctors!$B$2:$B$200,MATCH(A168,Doctors!$A$2:$A$200,0)),"Unknown Staff ID"))</f>
        <v/>
      </c>
      <c r="C168" s="14" t="n"/>
      <c r="D168" s="16" t="n"/>
      <c r="E168" s="16" t="n"/>
      <c r="F168" s="22">
        <f>IF(OR(D168="",E168=""),"",E168-D168+1)</f>
        <v/>
      </c>
      <c r="G168" s="14" t="n"/>
      <c r="H168" s="14" t="n"/>
    </row>
    <row r="169">
      <c r="A169" s="14" t="n"/>
      <c r="B169" s="19">
        <f>IF(A169="","",IFERROR(INDEX(Doctors!$B$2:$B$200,MATCH(A169,Doctors!$A$2:$A$200,0)),"Unknown Staff ID"))</f>
        <v/>
      </c>
      <c r="C169" s="14" t="n"/>
      <c r="D169" s="16" t="n"/>
      <c r="E169" s="16" t="n"/>
      <c r="F169" s="22">
        <f>IF(OR(D169="",E169=""),"",E169-D169+1)</f>
        <v/>
      </c>
      <c r="G169" s="14" t="n"/>
      <c r="H169" s="14" t="n"/>
    </row>
    <row r="170">
      <c r="A170" s="14" t="n"/>
      <c r="B170" s="19">
        <f>IF(A170="","",IFERROR(INDEX(Doctors!$B$2:$B$200,MATCH(A170,Doctors!$A$2:$A$200,0)),"Unknown Staff ID"))</f>
        <v/>
      </c>
      <c r="C170" s="14" t="n"/>
      <c r="D170" s="16" t="n"/>
      <c r="E170" s="16" t="n"/>
      <c r="F170" s="22">
        <f>IF(OR(D170="",E170=""),"",E170-D170+1)</f>
        <v/>
      </c>
      <c r="G170" s="14" t="n"/>
      <c r="H170" s="14" t="n"/>
    </row>
    <row r="171">
      <c r="A171" s="14" t="n"/>
      <c r="B171" s="19">
        <f>IF(A171="","",IFERROR(INDEX(Doctors!$B$2:$B$200,MATCH(A171,Doctors!$A$2:$A$200,0)),"Unknown Staff ID"))</f>
        <v/>
      </c>
      <c r="C171" s="14" t="n"/>
      <c r="D171" s="16" t="n"/>
      <c r="E171" s="16" t="n"/>
      <c r="F171" s="22">
        <f>IF(OR(D171="",E171=""),"",E171-D171+1)</f>
        <v/>
      </c>
      <c r="G171" s="14" t="n"/>
      <c r="H171" s="14" t="n"/>
    </row>
    <row r="172">
      <c r="A172" s="14" t="n"/>
      <c r="B172" s="19">
        <f>IF(A172="","",IFERROR(INDEX(Doctors!$B$2:$B$200,MATCH(A172,Doctors!$A$2:$A$200,0)),"Unknown Staff ID"))</f>
        <v/>
      </c>
      <c r="C172" s="14" t="n"/>
      <c r="D172" s="16" t="n"/>
      <c r="E172" s="16" t="n"/>
      <c r="F172" s="22">
        <f>IF(OR(D172="",E172=""),"",E172-D172+1)</f>
        <v/>
      </c>
      <c r="G172" s="14" t="n"/>
      <c r="H172" s="14" t="n"/>
    </row>
    <row r="173">
      <c r="A173" s="14" t="n"/>
      <c r="B173" s="19">
        <f>IF(A173="","",IFERROR(INDEX(Doctors!$B$2:$B$200,MATCH(A173,Doctors!$A$2:$A$200,0)),"Unknown Staff ID"))</f>
        <v/>
      </c>
      <c r="C173" s="14" t="n"/>
      <c r="D173" s="16" t="n"/>
      <c r="E173" s="16" t="n"/>
      <c r="F173" s="22">
        <f>IF(OR(D173="",E173=""),"",E173-D173+1)</f>
        <v/>
      </c>
      <c r="G173" s="14" t="n"/>
      <c r="H173" s="14" t="n"/>
    </row>
    <row r="174">
      <c r="A174" s="14" t="n"/>
      <c r="B174" s="19">
        <f>IF(A174="","",IFERROR(INDEX(Doctors!$B$2:$B$200,MATCH(A174,Doctors!$A$2:$A$200,0)),"Unknown Staff ID"))</f>
        <v/>
      </c>
      <c r="C174" s="14" t="n"/>
      <c r="D174" s="16" t="n"/>
      <c r="E174" s="16" t="n"/>
      <c r="F174" s="22">
        <f>IF(OR(D174="",E174=""),"",E174-D174+1)</f>
        <v/>
      </c>
      <c r="G174" s="14" t="n"/>
      <c r="H174" s="14" t="n"/>
    </row>
    <row r="175">
      <c r="A175" s="14" t="n"/>
      <c r="B175" s="19">
        <f>IF(A175="","",IFERROR(INDEX(Doctors!$B$2:$B$200,MATCH(A175,Doctors!$A$2:$A$200,0)),"Unknown Staff ID"))</f>
        <v/>
      </c>
      <c r="C175" s="14" t="n"/>
      <c r="D175" s="16" t="n"/>
      <c r="E175" s="16" t="n"/>
      <c r="F175" s="22">
        <f>IF(OR(D175="",E175=""),"",E175-D175+1)</f>
        <v/>
      </c>
      <c r="G175" s="14" t="n"/>
      <c r="H175" s="14" t="n"/>
    </row>
    <row r="176">
      <c r="A176" s="14" t="n"/>
      <c r="B176" s="19">
        <f>IF(A176="","",IFERROR(INDEX(Doctors!$B$2:$B$200,MATCH(A176,Doctors!$A$2:$A$200,0)),"Unknown Staff ID"))</f>
        <v/>
      </c>
      <c r="C176" s="14" t="n"/>
      <c r="D176" s="16" t="n"/>
      <c r="E176" s="16" t="n"/>
      <c r="F176" s="22">
        <f>IF(OR(D176="",E176=""),"",E176-D176+1)</f>
        <v/>
      </c>
      <c r="G176" s="14" t="n"/>
      <c r="H176" s="14" t="n"/>
    </row>
    <row r="177">
      <c r="A177" s="14" t="n"/>
      <c r="B177" s="19">
        <f>IF(A177="","",IFERROR(INDEX(Doctors!$B$2:$B$200,MATCH(A177,Doctors!$A$2:$A$200,0)),"Unknown Staff ID"))</f>
        <v/>
      </c>
      <c r="C177" s="14" t="n"/>
      <c r="D177" s="16" t="n"/>
      <c r="E177" s="16" t="n"/>
      <c r="F177" s="22">
        <f>IF(OR(D177="",E177=""),"",E177-D177+1)</f>
        <v/>
      </c>
      <c r="G177" s="14" t="n"/>
      <c r="H177" s="14" t="n"/>
    </row>
    <row r="178">
      <c r="A178" s="14" t="n"/>
      <c r="B178" s="19">
        <f>IF(A178="","",IFERROR(INDEX(Doctors!$B$2:$B$200,MATCH(A178,Doctors!$A$2:$A$200,0)),"Unknown Staff ID"))</f>
        <v/>
      </c>
      <c r="C178" s="14" t="n"/>
      <c r="D178" s="16" t="n"/>
      <c r="E178" s="16" t="n"/>
      <c r="F178" s="22">
        <f>IF(OR(D178="",E178=""),"",E178-D178+1)</f>
        <v/>
      </c>
      <c r="G178" s="14" t="n"/>
      <c r="H178" s="14" t="n"/>
    </row>
    <row r="179">
      <c r="A179" s="14" t="n"/>
      <c r="B179" s="19">
        <f>IF(A179="","",IFERROR(INDEX(Doctors!$B$2:$B$200,MATCH(A179,Doctors!$A$2:$A$200,0)),"Unknown Staff ID"))</f>
        <v/>
      </c>
      <c r="C179" s="14" t="n"/>
      <c r="D179" s="16" t="n"/>
      <c r="E179" s="16" t="n"/>
      <c r="F179" s="22">
        <f>IF(OR(D179="",E179=""),"",E179-D179+1)</f>
        <v/>
      </c>
      <c r="G179" s="14" t="n"/>
      <c r="H179" s="14" t="n"/>
    </row>
    <row r="180">
      <c r="A180" s="14" t="n"/>
      <c r="B180" s="19">
        <f>IF(A180="","",IFERROR(INDEX(Doctors!$B$2:$B$200,MATCH(A180,Doctors!$A$2:$A$200,0)),"Unknown Staff ID"))</f>
        <v/>
      </c>
      <c r="C180" s="14" t="n"/>
      <c r="D180" s="16" t="n"/>
      <c r="E180" s="16" t="n"/>
      <c r="F180" s="22">
        <f>IF(OR(D180="",E180=""),"",E180-D180+1)</f>
        <v/>
      </c>
      <c r="G180" s="14" t="n"/>
      <c r="H180" s="14" t="n"/>
    </row>
    <row r="181">
      <c r="A181" s="14" t="n"/>
      <c r="B181" s="19">
        <f>IF(A181="","",IFERROR(INDEX(Doctors!$B$2:$B$200,MATCH(A181,Doctors!$A$2:$A$200,0)),"Unknown Staff ID"))</f>
        <v/>
      </c>
      <c r="C181" s="14" t="n"/>
      <c r="D181" s="16" t="n"/>
      <c r="E181" s="16" t="n"/>
      <c r="F181" s="22">
        <f>IF(OR(D181="",E181=""),"",E181-D181+1)</f>
        <v/>
      </c>
      <c r="G181" s="14" t="n"/>
      <c r="H181" s="14" t="n"/>
    </row>
    <row r="182">
      <c r="A182" s="14" t="n"/>
      <c r="B182" s="19">
        <f>IF(A182="","",IFERROR(INDEX(Doctors!$B$2:$B$200,MATCH(A182,Doctors!$A$2:$A$200,0)),"Unknown Staff ID"))</f>
        <v/>
      </c>
      <c r="C182" s="14" t="n"/>
      <c r="D182" s="16" t="n"/>
      <c r="E182" s="16" t="n"/>
      <c r="F182" s="22">
        <f>IF(OR(D182="",E182=""),"",E182-D182+1)</f>
        <v/>
      </c>
      <c r="G182" s="14" t="n"/>
      <c r="H182" s="14" t="n"/>
    </row>
    <row r="183">
      <c r="A183" s="14" t="n"/>
      <c r="B183" s="19">
        <f>IF(A183="","",IFERROR(INDEX(Doctors!$B$2:$B$200,MATCH(A183,Doctors!$A$2:$A$200,0)),"Unknown Staff ID"))</f>
        <v/>
      </c>
      <c r="C183" s="14" t="n"/>
      <c r="D183" s="16" t="n"/>
      <c r="E183" s="16" t="n"/>
      <c r="F183" s="22">
        <f>IF(OR(D183="",E183=""),"",E183-D183+1)</f>
        <v/>
      </c>
      <c r="G183" s="14" t="n"/>
      <c r="H183" s="14" t="n"/>
    </row>
    <row r="184">
      <c r="A184" s="14" t="n"/>
      <c r="B184" s="19">
        <f>IF(A184="","",IFERROR(INDEX(Doctors!$B$2:$B$200,MATCH(A184,Doctors!$A$2:$A$200,0)),"Unknown Staff ID"))</f>
        <v/>
      </c>
      <c r="C184" s="14" t="n"/>
      <c r="D184" s="16" t="n"/>
      <c r="E184" s="16" t="n"/>
      <c r="F184" s="22">
        <f>IF(OR(D184="",E184=""),"",E184-D184+1)</f>
        <v/>
      </c>
      <c r="G184" s="14" t="n"/>
      <c r="H184" s="14" t="n"/>
    </row>
    <row r="185">
      <c r="A185" s="14" t="n"/>
      <c r="B185" s="19">
        <f>IF(A185="","",IFERROR(INDEX(Doctors!$B$2:$B$200,MATCH(A185,Doctors!$A$2:$A$200,0)),"Unknown Staff ID"))</f>
        <v/>
      </c>
      <c r="C185" s="14" t="n"/>
      <c r="D185" s="16" t="n"/>
      <c r="E185" s="16" t="n"/>
      <c r="F185" s="22">
        <f>IF(OR(D185="",E185=""),"",E185-D185+1)</f>
        <v/>
      </c>
      <c r="G185" s="14" t="n"/>
      <c r="H185" s="14" t="n"/>
    </row>
    <row r="186">
      <c r="A186" s="14" t="n"/>
      <c r="B186" s="19">
        <f>IF(A186="","",IFERROR(INDEX(Doctors!$B$2:$B$200,MATCH(A186,Doctors!$A$2:$A$200,0)),"Unknown Staff ID"))</f>
        <v/>
      </c>
      <c r="C186" s="14" t="n"/>
      <c r="D186" s="16" t="n"/>
      <c r="E186" s="16" t="n"/>
      <c r="F186" s="22">
        <f>IF(OR(D186="",E186=""),"",E186-D186+1)</f>
        <v/>
      </c>
      <c r="G186" s="14" t="n"/>
      <c r="H186" s="14" t="n"/>
    </row>
    <row r="187">
      <c r="A187" s="14" t="n"/>
      <c r="B187" s="19">
        <f>IF(A187="","",IFERROR(INDEX(Doctors!$B$2:$B$200,MATCH(A187,Doctors!$A$2:$A$200,0)),"Unknown Staff ID"))</f>
        <v/>
      </c>
      <c r="C187" s="14" t="n"/>
      <c r="D187" s="16" t="n"/>
      <c r="E187" s="16" t="n"/>
      <c r="F187" s="22">
        <f>IF(OR(D187="",E187=""),"",E187-D187+1)</f>
        <v/>
      </c>
      <c r="G187" s="14" t="n"/>
      <c r="H187" s="14" t="n"/>
    </row>
    <row r="188">
      <c r="A188" s="14" t="n"/>
      <c r="B188" s="19">
        <f>IF(A188="","",IFERROR(INDEX(Doctors!$B$2:$B$200,MATCH(A188,Doctors!$A$2:$A$200,0)),"Unknown Staff ID"))</f>
        <v/>
      </c>
      <c r="C188" s="14" t="n"/>
      <c r="D188" s="16" t="n"/>
      <c r="E188" s="16" t="n"/>
      <c r="F188" s="22">
        <f>IF(OR(D188="",E188=""),"",E188-D188+1)</f>
        <v/>
      </c>
      <c r="G188" s="14" t="n"/>
      <c r="H188" s="14" t="n"/>
    </row>
    <row r="189">
      <c r="A189" s="14" t="n"/>
      <c r="B189" s="19">
        <f>IF(A189="","",IFERROR(INDEX(Doctors!$B$2:$B$200,MATCH(A189,Doctors!$A$2:$A$200,0)),"Unknown Staff ID"))</f>
        <v/>
      </c>
      <c r="C189" s="14" t="n"/>
      <c r="D189" s="16" t="n"/>
      <c r="E189" s="16" t="n"/>
      <c r="F189" s="22">
        <f>IF(OR(D189="",E189=""),"",E189-D189+1)</f>
        <v/>
      </c>
      <c r="G189" s="14" t="n"/>
      <c r="H189" s="14" t="n"/>
    </row>
    <row r="190">
      <c r="A190" s="14" t="n"/>
      <c r="B190" s="19">
        <f>IF(A190="","",IFERROR(INDEX(Doctors!$B$2:$B$200,MATCH(A190,Doctors!$A$2:$A$200,0)),"Unknown Staff ID"))</f>
        <v/>
      </c>
      <c r="C190" s="14" t="n"/>
      <c r="D190" s="16" t="n"/>
      <c r="E190" s="16" t="n"/>
      <c r="F190" s="22">
        <f>IF(OR(D190="",E190=""),"",E190-D190+1)</f>
        <v/>
      </c>
      <c r="G190" s="14" t="n"/>
      <c r="H190" s="14" t="n"/>
    </row>
    <row r="191">
      <c r="A191" s="14" t="n"/>
      <c r="B191" s="19">
        <f>IF(A191="","",IFERROR(INDEX(Doctors!$B$2:$B$200,MATCH(A191,Doctors!$A$2:$A$200,0)),"Unknown Staff ID"))</f>
        <v/>
      </c>
      <c r="C191" s="14" t="n"/>
      <c r="D191" s="16" t="n"/>
      <c r="E191" s="16" t="n"/>
      <c r="F191" s="22">
        <f>IF(OR(D191="",E191=""),"",E191-D191+1)</f>
        <v/>
      </c>
      <c r="G191" s="14" t="n"/>
      <c r="H191" s="14" t="n"/>
    </row>
    <row r="192">
      <c r="A192" s="14" t="n"/>
      <c r="B192" s="19">
        <f>IF(A192="","",IFERROR(INDEX(Doctors!$B$2:$B$200,MATCH(A192,Doctors!$A$2:$A$200,0)),"Unknown Staff ID"))</f>
        <v/>
      </c>
      <c r="C192" s="14" t="n"/>
      <c r="D192" s="16" t="n"/>
      <c r="E192" s="16" t="n"/>
      <c r="F192" s="22">
        <f>IF(OR(D192="",E192=""),"",E192-D192+1)</f>
        <v/>
      </c>
      <c r="G192" s="14" t="n"/>
      <c r="H192" s="14" t="n"/>
    </row>
    <row r="193">
      <c r="A193" s="14" t="n"/>
      <c r="B193" s="19">
        <f>IF(A193="","",IFERROR(INDEX(Doctors!$B$2:$B$200,MATCH(A193,Doctors!$A$2:$A$200,0)),"Unknown Staff ID"))</f>
        <v/>
      </c>
      <c r="C193" s="14" t="n"/>
      <c r="D193" s="16" t="n"/>
      <c r="E193" s="16" t="n"/>
      <c r="F193" s="22">
        <f>IF(OR(D193="",E193=""),"",E193-D193+1)</f>
        <v/>
      </c>
      <c r="G193" s="14" t="n"/>
      <c r="H193" s="14" t="n"/>
    </row>
    <row r="194">
      <c r="A194" s="14" t="n"/>
      <c r="B194" s="19">
        <f>IF(A194="","",IFERROR(INDEX(Doctors!$B$2:$B$200,MATCH(A194,Doctors!$A$2:$A$200,0)),"Unknown Staff ID"))</f>
        <v/>
      </c>
      <c r="C194" s="14" t="n"/>
      <c r="D194" s="16" t="n"/>
      <c r="E194" s="16" t="n"/>
      <c r="F194" s="22">
        <f>IF(OR(D194="",E194=""),"",E194-D194+1)</f>
        <v/>
      </c>
      <c r="G194" s="14" t="n"/>
      <c r="H194" s="14" t="n"/>
    </row>
    <row r="195">
      <c r="A195" s="14" t="n"/>
      <c r="B195" s="19">
        <f>IF(A195="","",IFERROR(INDEX(Doctors!$B$2:$B$200,MATCH(A195,Doctors!$A$2:$A$200,0)),"Unknown Staff ID"))</f>
        <v/>
      </c>
      <c r="C195" s="14" t="n"/>
      <c r="D195" s="16" t="n"/>
      <c r="E195" s="16" t="n"/>
      <c r="F195" s="22">
        <f>IF(OR(D195="",E195=""),"",E195-D195+1)</f>
        <v/>
      </c>
      <c r="G195" s="14" t="n"/>
      <c r="H195" s="14" t="n"/>
    </row>
    <row r="196">
      <c r="A196" s="14" t="n"/>
      <c r="B196" s="19">
        <f>IF(A196="","",IFERROR(INDEX(Doctors!$B$2:$B$200,MATCH(A196,Doctors!$A$2:$A$200,0)),"Unknown Staff ID"))</f>
        <v/>
      </c>
      <c r="C196" s="14" t="n"/>
      <c r="D196" s="16" t="n"/>
      <c r="E196" s="16" t="n"/>
      <c r="F196" s="22">
        <f>IF(OR(D196="",E196=""),"",E196-D196+1)</f>
        <v/>
      </c>
      <c r="G196" s="14" t="n"/>
      <c r="H196" s="14" t="n"/>
    </row>
    <row r="197">
      <c r="A197" s="14" t="n"/>
      <c r="B197" s="19">
        <f>IF(A197="","",IFERROR(INDEX(Doctors!$B$2:$B$200,MATCH(A197,Doctors!$A$2:$A$200,0)),"Unknown Staff ID"))</f>
        <v/>
      </c>
      <c r="C197" s="14" t="n"/>
      <c r="D197" s="16" t="n"/>
      <c r="E197" s="16" t="n"/>
      <c r="F197" s="22">
        <f>IF(OR(D197="",E197=""),"",E197-D197+1)</f>
        <v/>
      </c>
      <c r="G197" s="14" t="n"/>
      <c r="H197" s="14" t="n"/>
    </row>
    <row r="198">
      <c r="A198" s="14" t="n"/>
      <c r="B198" s="19">
        <f>IF(A198="","",IFERROR(INDEX(Doctors!$B$2:$B$200,MATCH(A198,Doctors!$A$2:$A$200,0)),"Unknown Staff ID"))</f>
        <v/>
      </c>
      <c r="C198" s="14" t="n"/>
      <c r="D198" s="16" t="n"/>
      <c r="E198" s="16" t="n"/>
      <c r="F198" s="22">
        <f>IF(OR(D198="",E198=""),"",E198-D198+1)</f>
        <v/>
      </c>
      <c r="G198" s="14" t="n"/>
      <c r="H198" s="14" t="n"/>
    </row>
    <row r="199">
      <c r="A199" s="14" t="n"/>
      <c r="B199" s="19">
        <f>IF(A199="","",IFERROR(INDEX(Doctors!$B$2:$B$200,MATCH(A199,Doctors!$A$2:$A$200,0)),"Unknown Staff ID"))</f>
        <v/>
      </c>
      <c r="C199" s="14" t="n"/>
      <c r="D199" s="16" t="n"/>
      <c r="E199" s="16" t="n"/>
      <c r="F199" s="22">
        <f>IF(OR(D199="",E199=""),"",E199-D199+1)</f>
        <v/>
      </c>
      <c r="G199" s="14" t="n"/>
      <c r="H199" s="14" t="n"/>
    </row>
    <row r="200">
      <c r="A200" s="14" t="n"/>
      <c r="B200" s="19">
        <f>IF(A200="","",IFERROR(INDEX(Doctors!$B$2:$B$200,MATCH(A200,Doctors!$A$2:$A$200,0)),"Unknown Staff ID"))</f>
        <v/>
      </c>
      <c r="C200" s="14" t="n"/>
      <c r="D200" s="16" t="n"/>
      <c r="E200" s="16" t="n"/>
      <c r="F200" s="22">
        <f>IF(OR(D200="",E200=""),"",E200-D200+1)</f>
        <v/>
      </c>
      <c r="G200" s="14" t="n"/>
      <c r="H200" s="14" t="n"/>
    </row>
  </sheetData>
  <conditionalFormatting sqref="B2:B200">
    <cfRule type="cellIs" priority="1" operator="equal" dxfId="6">
      <formula>"Unknown Staff ID"</formula>
    </cfRule>
  </conditionalFormatting>
  <conditionalFormatting sqref="F2:F200">
    <cfRule type="cellIs" priority="2" operator="lessThan" dxfId="7">
      <formula>1</formula>
    </cfRule>
  </conditionalFormatting>
  <dataValidations count="4">
    <dataValidation sqref="A2:A200" showDropDown="0" showInputMessage="1" showErrorMessage="1" allowBlank="1" errorTitle="Pick from the list" error="Please choose a value from the dropdown list." promptTitle="Tip" prompt="Pick the doctor's Staff ID; the name fills in automatically." type="list">
      <formula1>=Doctors!$A$2:$A$200</formula1>
    </dataValidation>
    <dataValidation sqref="C2:C200" showDropDown="0" showInputMessage="0" showErrorMessage="1" allowBlank="1" errorTitle="Pick from the list" error="Please choose a value from the dropdown list." type="list">
      <formula1>"Casual leave,Sick leave,Earned leave,Conference leave,Maternity leave,Unavailable (doctor)"</formula1>
    </dataValidation>
    <dataValidation sqref="H2:H200" showDropDown="0" showInputMessage="1" showErrorMessage="1" allowBlank="1" errorTitle="Pick from the list" error="Please choose a value from the dropdown list." promptTitle="Tip" prompt="Only Approved leave blocks booking slots." type="list">
      <formula1>"Approved,Pending,Rejected"</formula1>
    </dataValidation>
    <dataValidation sqref="D2:E200" showDropDown="0" showInputMessage="0" showErrorMessage="1" allowBlank="1" error="Enter a date, e.g. 16-Nov-2026." type="date" operator="between">
      <formula1>DATE(2020,1,1)</formula1>
      <formula2>DATE(2100,12,31)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6F61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4" customWidth="1" min="3" max="3"/>
  </cols>
  <sheetData>
    <row r="1" ht="30" customHeight="1">
      <c r="A1" s="13" t="inlineStr">
        <is>
          <t>Setting</t>
        </is>
      </c>
      <c r="B1" s="13" t="inlineStr">
        <is>
          <t>Value</t>
        </is>
      </c>
      <c r="C1" s="13" t="inlineStr">
        <is>
          <t>Notes</t>
        </is>
      </c>
    </row>
    <row r="2">
      <c r="A2" s="7" t="inlineStr">
        <is>
          <t>Slot length</t>
        </is>
      </c>
      <c r="B2" s="15" t="n">
        <v>15</v>
      </c>
      <c r="C2" s="23" t="inlineStr">
        <is>
          <t>minutes per appointment slot</t>
        </is>
      </c>
    </row>
    <row r="3">
      <c r="A3" s="7" t="inlineStr">
        <is>
          <t>Morning session starts</t>
        </is>
      </c>
      <c r="B3" s="24" t="inlineStr">
        <is>
          <t>09:00</t>
        </is>
      </c>
      <c r="C3" s="23" t="inlineStr">
        <is>
          <t>hh:mm, 24-hour</t>
        </is>
      </c>
    </row>
    <row r="4">
      <c r="A4" s="7" t="inlineStr">
        <is>
          <t>Morning session ends</t>
        </is>
      </c>
      <c r="B4" s="24" t="inlineStr">
        <is>
          <t>13:00</t>
        </is>
      </c>
      <c r="C4" s="23" t="inlineStr">
        <is>
          <t>hh:mm, 24-hour</t>
        </is>
      </c>
    </row>
    <row r="5">
      <c r="A5" s="7" t="inlineStr">
        <is>
          <t>Afternoon session starts</t>
        </is>
      </c>
      <c r="B5" s="24" t="inlineStr">
        <is>
          <t>14:00</t>
        </is>
      </c>
      <c r="C5" s="23" t="inlineStr">
        <is>
          <t>hh:mm, 24-hour</t>
        </is>
      </c>
    </row>
    <row r="6">
      <c r="A6" s="7" t="inlineStr">
        <is>
          <t>Afternoon session ends</t>
        </is>
      </c>
      <c r="B6" s="24" t="inlineStr">
        <is>
          <t>16:00</t>
        </is>
      </c>
      <c r="C6" s="23" t="inlineStr">
        <is>
          <t>hh:mm, 24-hour</t>
        </is>
      </c>
    </row>
    <row r="7">
      <c r="A7" s="7" t="inlineStr">
        <is>
          <t>Patients per slot</t>
        </is>
      </c>
      <c r="B7" s="15" t="n">
        <v>1</v>
      </c>
      <c r="C7" s="23" t="inlineStr">
        <is>
          <t>bookings allowed in one slot</t>
        </is>
      </c>
    </row>
    <row r="8">
      <c r="A8" s="7" t="inlineStr">
        <is>
          <t>Booking window</t>
        </is>
      </c>
      <c r="B8" s="15" t="n">
        <v>30</v>
      </c>
      <c r="C8" s="23" t="inlineStr">
        <is>
          <t>days ahead patients can book</t>
        </is>
      </c>
    </row>
    <row r="9">
      <c r="A9" s="7" t="inlineStr">
        <is>
          <t>Consultation fee — General</t>
        </is>
      </c>
      <c r="B9" s="15" t="n">
        <v>300</v>
      </c>
      <c r="C9" s="23" t="inlineStr">
        <is>
          <t>₹, for departments marked General</t>
        </is>
      </c>
    </row>
    <row r="10">
      <c r="A10" s="7" t="inlineStr">
        <is>
          <t>Consultation fee — Specialist</t>
        </is>
      </c>
      <c r="B10" s="15" t="n">
        <v>600</v>
      </c>
      <c r="C10" s="23" t="inlineStr">
        <is>
          <t>₹, for departments marked Specialist</t>
        </is>
      </c>
    </row>
    <row r="11">
      <c r="A11" s="7" t="inlineStr">
        <is>
          <t>Follow-up fee</t>
        </is>
      </c>
      <c r="B11" s="15" t="n">
        <v>0</v>
      </c>
      <c r="C11" s="23" t="inlineStr">
        <is>
          <t>₹, within the free follow-up period</t>
        </is>
      </c>
    </row>
    <row r="12">
      <c r="A12" s="7" t="inlineStr">
        <is>
          <t>Free follow-up period</t>
        </is>
      </c>
      <c r="B12" s="15" t="n">
        <v>14</v>
      </c>
      <c r="C12" s="23" t="inlineStr">
        <is>
          <t>days after a completed consultation</t>
        </is>
      </c>
    </row>
    <row r="14">
      <c r="A14" s="2" t="inlineStr">
        <is>
          <t>Times are text in 24-hour hh:mm form (e.g. 09:00, 14:30). Slot length should divide each session evenly.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3" t="inlineStr">
        <is>
          <t>Active doctors available per session (calculated — no need to edit)</t>
        </is>
      </c>
    </row>
    <row r="2">
      <c r="B2" s="25" t="inlineStr">
        <is>
          <t>Morning (AM)</t>
        </is>
      </c>
      <c r="H2" s="25" t="inlineStr">
        <is>
          <t>Afternoon (PM)</t>
        </is>
      </c>
    </row>
    <row r="3" ht="30" customHeight="1">
      <c r="A3" s="13" t="inlineStr">
        <is>
          <t>Department</t>
        </is>
      </c>
      <c r="B3" s="13" t="inlineStr">
        <is>
          <t>Mon</t>
        </is>
      </c>
      <c r="C3" s="13" t="inlineStr">
        <is>
          <t>Tue</t>
        </is>
      </c>
      <c r="D3" s="13" t="inlineStr">
        <is>
          <t>Wed</t>
        </is>
      </c>
      <c r="E3" s="13" t="inlineStr">
        <is>
          <t>Thu</t>
        </is>
      </c>
      <c r="F3" s="13" t="inlineStr">
        <is>
          <t>Fri</t>
        </is>
      </c>
      <c r="G3" s="13" t="inlineStr">
        <is>
          <t>Sat</t>
        </is>
      </c>
      <c r="H3" s="13" t="inlineStr">
        <is>
          <t>Mon</t>
        </is>
      </c>
      <c r="I3" s="13" t="inlineStr">
        <is>
          <t>Tue</t>
        </is>
      </c>
      <c r="J3" s="13" t="inlineStr">
        <is>
          <t>Wed</t>
        </is>
      </c>
      <c r="K3" s="13" t="inlineStr">
        <is>
          <t>Thu</t>
        </is>
      </c>
      <c r="L3" s="13" t="inlineStr">
        <is>
          <t>Fri</t>
        </is>
      </c>
      <c r="M3" s="13" t="inlineStr">
        <is>
          <t>Sat</t>
        </is>
      </c>
    </row>
    <row r="4">
      <c r="A4" s="6">
        <f>Departments!B2</f>
        <v/>
      </c>
      <c r="B4" s="18">
        <f>IF(Departments!D2="Closed","Closed",COUNTIFS(Doctors!$C$2:$C$200,$A4,Doctors!$M$2:$M$200,"Full",Doctors!$K$2:$K$200,"Active")+COUNTIFS(Doctors!$C$2:$C$200,$A4,Doctors!$M$2:$M$200,"AM",Doctors!$K$2:$K$200,"Active"))</f>
        <v/>
      </c>
      <c r="C4" s="18">
        <f>IF(Departments!E2="Closed","Closed",COUNTIFS(Doctors!$C$2:$C$200,$A4,Doctors!$N$2:$N$200,"Full",Doctors!$K$2:$K$200,"Active")+COUNTIFS(Doctors!$C$2:$C$200,$A4,Doctors!$N$2:$N$200,"AM",Doctors!$K$2:$K$200,"Active"))</f>
        <v/>
      </c>
      <c r="D4" s="18">
        <f>IF(Departments!F2="Closed","Closed",COUNTIFS(Doctors!$C$2:$C$200,$A4,Doctors!$O$2:$O$200,"Full",Doctors!$K$2:$K$200,"Active")+COUNTIFS(Doctors!$C$2:$C$200,$A4,Doctors!$O$2:$O$200,"AM",Doctors!$K$2:$K$200,"Active"))</f>
        <v/>
      </c>
      <c r="E4" s="18">
        <f>IF(Departments!G2="Closed","Closed",COUNTIFS(Doctors!$C$2:$C$200,$A4,Doctors!$P$2:$P$200,"Full",Doctors!$K$2:$K$200,"Active")+COUNTIFS(Doctors!$C$2:$C$200,$A4,Doctors!$P$2:$P$200,"AM",Doctors!$K$2:$K$200,"Active"))</f>
        <v/>
      </c>
      <c r="F4" s="18">
        <f>IF(Departments!H2="Closed","Closed",COUNTIFS(Doctors!$C$2:$C$200,$A4,Doctors!$Q$2:$Q$200,"Full",Doctors!$K$2:$K$200,"Active")+COUNTIFS(Doctors!$C$2:$C$200,$A4,Doctors!$Q$2:$Q$200,"AM",Doctors!$K$2:$K$200,"Active"))</f>
        <v/>
      </c>
      <c r="G4" s="18">
        <f>IF(Departments!I2="Closed","Closed",COUNTIFS(Doctors!$C$2:$C$200,$A4,Doctors!$R$2:$R$200,"Full",Doctors!$K$2:$K$200,"Active")+COUNTIFS(Doctors!$C$2:$C$200,$A4,Doctors!$R$2:$R$200,"AM",Doctors!$K$2:$K$200,"Active"))</f>
        <v/>
      </c>
      <c r="H4" s="18">
        <f>IF(Departments!D2="Closed","Closed",COUNTIFS(Doctors!$C$2:$C$200,$A4,Doctors!$M$2:$M$200,"Full",Doctors!$K$2:$K$200,"Active")+COUNTIFS(Doctors!$C$2:$C$200,$A4,Doctors!$M$2:$M$200,"PM",Doctors!$K$2:$K$200,"Active"))</f>
        <v/>
      </c>
      <c r="I4" s="18">
        <f>IF(Departments!E2="Closed","Closed",COUNTIFS(Doctors!$C$2:$C$200,$A4,Doctors!$N$2:$N$200,"Full",Doctors!$K$2:$K$200,"Active")+COUNTIFS(Doctors!$C$2:$C$200,$A4,Doctors!$N$2:$N$200,"PM",Doctors!$K$2:$K$200,"Active"))</f>
        <v/>
      </c>
      <c r="J4" s="18">
        <f>IF(Departments!F2="Closed","Closed",COUNTIFS(Doctors!$C$2:$C$200,$A4,Doctors!$O$2:$O$200,"Full",Doctors!$K$2:$K$200,"Active")+COUNTIFS(Doctors!$C$2:$C$200,$A4,Doctors!$O$2:$O$200,"PM",Doctors!$K$2:$K$200,"Active"))</f>
        <v/>
      </c>
      <c r="K4" s="18">
        <f>IF(Departments!G2="Closed","Closed",COUNTIFS(Doctors!$C$2:$C$200,$A4,Doctors!$P$2:$P$200,"Full",Doctors!$K$2:$K$200,"Active")+COUNTIFS(Doctors!$C$2:$C$200,$A4,Doctors!$P$2:$P$200,"PM",Doctors!$K$2:$K$200,"Active"))</f>
        <v/>
      </c>
      <c r="L4" s="18">
        <f>IF(Departments!H2="Closed","Closed",COUNTIFS(Doctors!$C$2:$C$200,$A4,Doctors!$Q$2:$Q$200,"Full",Doctors!$K$2:$K$200,"Active")+COUNTIFS(Doctors!$C$2:$C$200,$A4,Doctors!$Q$2:$Q$200,"PM",Doctors!$K$2:$K$200,"Active"))</f>
        <v/>
      </c>
      <c r="M4" s="18">
        <f>IF(Departments!I2="Closed","Closed",COUNTIFS(Doctors!$C$2:$C$200,$A4,Doctors!$R$2:$R$200,"Full",Doctors!$K$2:$K$200,"Active")+COUNTIFS(Doctors!$C$2:$C$200,$A4,Doctors!$R$2:$R$200,"PM",Doctors!$K$2:$K$200,"Active"))</f>
        <v/>
      </c>
    </row>
    <row r="5">
      <c r="A5" s="6">
        <f>Departments!B3</f>
        <v/>
      </c>
      <c r="B5" s="18">
        <f>IF(Departments!D3="Closed","Closed",COUNTIFS(Doctors!$C$2:$C$200,$A5,Doctors!$M$2:$M$200,"Full",Doctors!$K$2:$K$200,"Active")+COUNTIFS(Doctors!$C$2:$C$200,$A5,Doctors!$M$2:$M$200,"AM",Doctors!$K$2:$K$200,"Active"))</f>
        <v/>
      </c>
      <c r="C5" s="18">
        <f>IF(Departments!E3="Closed","Closed",COUNTIFS(Doctors!$C$2:$C$200,$A5,Doctors!$N$2:$N$200,"Full",Doctors!$K$2:$K$200,"Active")+COUNTIFS(Doctors!$C$2:$C$200,$A5,Doctors!$N$2:$N$200,"AM",Doctors!$K$2:$K$200,"Active"))</f>
        <v/>
      </c>
      <c r="D5" s="18">
        <f>IF(Departments!F3="Closed","Closed",COUNTIFS(Doctors!$C$2:$C$200,$A5,Doctors!$O$2:$O$200,"Full",Doctors!$K$2:$K$200,"Active")+COUNTIFS(Doctors!$C$2:$C$200,$A5,Doctors!$O$2:$O$200,"AM",Doctors!$K$2:$K$200,"Active"))</f>
        <v/>
      </c>
      <c r="E5" s="18">
        <f>IF(Departments!G3="Closed","Closed",COUNTIFS(Doctors!$C$2:$C$200,$A5,Doctors!$P$2:$P$200,"Full",Doctors!$K$2:$K$200,"Active")+COUNTIFS(Doctors!$C$2:$C$200,$A5,Doctors!$P$2:$P$200,"AM",Doctors!$K$2:$K$200,"Active"))</f>
        <v/>
      </c>
      <c r="F5" s="18">
        <f>IF(Departments!H3="Closed","Closed",COUNTIFS(Doctors!$C$2:$C$200,$A5,Doctors!$Q$2:$Q$200,"Full",Doctors!$K$2:$K$200,"Active")+COUNTIFS(Doctors!$C$2:$C$200,$A5,Doctors!$Q$2:$Q$200,"AM",Doctors!$K$2:$K$200,"Active"))</f>
        <v/>
      </c>
      <c r="G5" s="18">
        <f>IF(Departments!I3="Closed","Closed",COUNTIFS(Doctors!$C$2:$C$200,$A5,Doctors!$R$2:$R$200,"Full",Doctors!$K$2:$K$200,"Active")+COUNTIFS(Doctors!$C$2:$C$200,$A5,Doctors!$R$2:$R$200,"AM",Doctors!$K$2:$K$200,"Active"))</f>
        <v/>
      </c>
      <c r="H5" s="18">
        <f>IF(Departments!D3="Closed","Closed",COUNTIFS(Doctors!$C$2:$C$200,$A5,Doctors!$M$2:$M$200,"Full",Doctors!$K$2:$K$200,"Active")+COUNTIFS(Doctors!$C$2:$C$200,$A5,Doctors!$M$2:$M$200,"PM",Doctors!$K$2:$K$200,"Active"))</f>
        <v/>
      </c>
      <c r="I5" s="18">
        <f>IF(Departments!E3="Closed","Closed",COUNTIFS(Doctors!$C$2:$C$200,$A5,Doctors!$N$2:$N$200,"Full",Doctors!$K$2:$K$200,"Active")+COUNTIFS(Doctors!$C$2:$C$200,$A5,Doctors!$N$2:$N$200,"PM",Doctors!$K$2:$K$200,"Active"))</f>
        <v/>
      </c>
      <c r="J5" s="18">
        <f>IF(Departments!F3="Closed","Closed",COUNTIFS(Doctors!$C$2:$C$200,$A5,Doctors!$O$2:$O$200,"Full",Doctors!$K$2:$K$200,"Active")+COUNTIFS(Doctors!$C$2:$C$200,$A5,Doctors!$O$2:$O$200,"PM",Doctors!$K$2:$K$200,"Active"))</f>
        <v/>
      </c>
      <c r="K5" s="18">
        <f>IF(Departments!G3="Closed","Closed",COUNTIFS(Doctors!$C$2:$C$200,$A5,Doctors!$P$2:$P$200,"Full",Doctors!$K$2:$K$200,"Active")+COUNTIFS(Doctors!$C$2:$C$200,$A5,Doctors!$P$2:$P$200,"PM",Doctors!$K$2:$K$200,"Active"))</f>
        <v/>
      </c>
      <c r="L5" s="18">
        <f>IF(Departments!H3="Closed","Closed",COUNTIFS(Doctors!$C$2:$C$200,$A5,Doctors!$Q$2:$Q$200,"Full",Doctors!$K$2:$K$200,"Active")+COUNTIFS(Doctors!$C$2:$C$200,$A5,Doctors!$Q$2:$Q$200,"PM",Doctors!$K$2:$K$200,"Active"))</f>
        <v/>
      </c>
      <c r="M5" s="18">
        <f>IF(Departments!I3="Closed","Closed",COUNTIFS(Doctors!$C$2:$C$200,$A5,Doctors!$R$2:$R$200,"Full",Doctors!$K$2:$K$200,"Active")+COUNTIFS(Doctors!$C$2:$C$200,$A5,Doctors!$R$2:$R$200,"PM",Doctors!$K$2:$K$200,"Active"))</f>
        <v/>
      </c>
    </row>
    <row r="6">
      <c r="A6" s="6">
        <f>Departments!B4</f>
        <v/>
      </c>
      <c r="B6" s="18">
        <f>IF(Departments!D4="Closed","Closed",COUNTIFS(Doctors!$C$2:$C$200,$A6,Doctors!$M$2:$M$200,"Full",Doctors!$K$2:$K$200,"Active")+COUNTIFS(Doctors!$C$2:$C$200,$A6,Doctors!$M$2:$M$200,"AM",Doctors!$K$2:$K$200,"Active"))</f>
        <v/>
      </c>
      <c r="C6" s="18">
        <f>IF(Departments!E4="Closed","Closed",COUNTIFS(Doctors!$C$2:$C$200,$A6,Doctors!$N$2:$N$200,"Full",Doctors!$K$2:$K$200,"Active")+COUNTIFS(Doctors!$C$2:$C$200,$A6,Doctors!$N$2:$N$200,"AM",Doctors!$K$2:$K$200,"Active"))</f>
        <v/>
      </c>
      <c r="D6" s="18">
        <f>IF(Departments!F4="Closed","Closed",COUNTIFS(Doctors!$C$2:$C$200,$A6,Doctors!$O$2:$O$200,"Full",Doctors!$K$2:$K$200,"Active")+COUNTIFS(Doctors!$C$2:$C$200,$A6,Doctors!$O$2:$O$200,"AM",Doctors!$K$2:$K$200,"Active"))</f>
        <v/>
      </c>
      <c r="E6" s="18">
        <f>IF(Departments!G4="Closed","Closed",COUNTIFS(Doctors!$C$2:$C$200,$A6,Doctors!$P$2:$P$200,"Full",Doctors!$K$2:$K$200,"Active")+COUNTIFS(Doctors!$C$2:$C$200,$A6,Doctors!$P$2:$P$200,"AM",Doctors!$K$2:$K$200,"Active"))</f>
        <v/>
      </c>
      <c r="F6" s="18">
        <f>IF(Departments!H4="Closed","Closed",COUNTIFS(Doctors!$C$2:$C$200,$A6,Doctors!$Q$2:$Q$200,"Full",Doctors!$K$2:$K$200,"Active")+COUNTIFS(Doctors!$C$2:$C$200,$A6,Doctors!$Q$2:$Q$200,"AM",Doctors!$K$2:$K$200,"Active"))</f>
        <v/>
      </c>
      <c r="G6" s="18">
        <f>IF(Departments!I4="Closed","Closed",COUNTIFS(Doctors!$C$2:$C$200,$A6,Doctors!$R$2:$R$200,"Full",Doctors!$K$2:$K$200,"Active")+COUNTIFS(Doctors!$C$2:$C$200,$A6,Doctors!$R$2:$R$200,"AM",Doctors!$K$2:$K$200,"Active"))</f>
        <v/>
      </c>
      <c r="H6" s="18">
        <f>IF(Departments!D4="Closed","Closed",COUNTIFS(Doctors!$C$2:$C$200,$A6,Doctors!$M$2:$M$200,"Full",Doctors!$K$2:$K$200,"Active")+COUNTIFS(Doctors!$C$2:$C$200,$A6,Doctors!$M$2:$M$200,"PM",Doctors!$K$2:$K$200,"Active"))</f>
        <v/>
      </c>
      <c r="I6" s="18">
        <f>IF(Departments!E4="Closed","Closed",COUNTIFS(Doctors!$C$2:$C$200,$A6,Doctors!$N$2:$N$200,"Full",Doctors!$K$2:$K$200,"Active")+COUNTIFS(Doctors!$C$2:$C$200,$A6,Doctors!$N$2:$N$200,"PM",Doctors!$K$2:$K$200,"Active"))</f>
        <v/>
      </c>
      <c r="J6" s="18">
        <f>IF(Departments!F4="Closed","Closed",COUNTIFS(Doctors!$C$2:$C$200,$A6,Doctors!$O$2:$O$200,"Full",Doctors!$K$2:$K$200,"Active")+COUNTIFS(Doctors!$C$2:$C$200,$A6,Doctors!$O$2:$O$200,"PM",Doctors!$K$2:$K$200,"Active"))</f>
        <v/>
      </c>
      <c r="K6" s="18">
        <f>IF(Departments!G4="Closed","Closed",COUNTIFS(Doctors!$C$2:$C$200,$A6,Doctors!$P$2:$P$200,"Full",Doctors!$K$2:$K$200,"Active")+COUNTIFS(Doctors!$C$2:$C$200,$A6,Doctors!$P$2:$P$200,"PM",Doctors!$K$2:$K$200,"Active"))</f>
        <v/>
      </c>
      <c r="L6" s="18">
        <f>IF(Departments!H4="Closed","Closed",COUNTIFS(Doctors!$C$2:$C$200,$A6,Doctors!$Q$2:$Q$200,"Full",Doctors!$K$2:$K$200,"Active")+COUNTIFS(Doctors!$C$2:$C$200,$A6,Doctors!$Q$2:$Q$200,"PM",Doctors!$K$2:$K$200,"Active"))</f>
        <v/>
      </c>
      <c r="M6" s="18">
        <f>IF(Departments!I4="Closed","Closed",COUNTIFS(Doctors!$C$2:$C$200,$A6,Doctors!$R$2:$R$200,"Full",Doctors!$K$2:$K$200,"Active")+COUNTIFS(Doctors!$C$2:$C$200,$A6,Doctors!$R$2:$R$200,"PM",Doctors!$K$2:$K$200,"Active"))</f>
        <v/>
      </c>
    </row>
    <row r="7">
      <c r="A7" s="6">
        <f>Departments!B5</f>
        <v/>
      </c>
      <c r="B7" s="18">
        <f>IF(Departments!D5="Closed","Closed",COUNTIFS(Doctors!$C$2:$C$200,$A7,Doctors!$M$2:$M$200,"Full",Doctors!$K$2:$K$200,"Active")+COUNTIFS(Doctors!$C$2:$C$200,$A7,Doctors!$M$2:$M$200,"AM",Doctors!$K$2:$K$200,"Active"))</f>
        <v/>
      </c>
      <c r="C7" s="18">
        <f>IF(Departments!E5="Closed","Closed",COUNTIFS(Doctors!$C$2:$C$200,$A7,Doctors!$N$2:$N$200,"Full",Doctors!$K$2:$K$200,"Active")+COUNTIFS(Doctors!$C$2:$C$200,$A7,Doctors!$N$2:$N$200,"AM",Doctors!$K$2:$K$200,"Active"))</f>
        <v/>
      </c>
      <c r="D7" s="18">
        <f>IF(Departments!F5="Closed","Closed",COUNTIFS(Doctors!$C$2:$C$200,$A7,Doctors!$O$2:$O$200,"Full",Doctors!$K$2:$K$200,"Active")+COUNTIFS(Doctors!$C$2:$C$200,$A7,Doctors!$O$2:$O$200,"AM",Doctors!$K$2:$K$200,"Active"))</f>
        <v/>
      </c>
      <c r="E7" s="18">
        <f>IF(Departments!G5="Closed","Closed",COUNTIFS(Doctors!$C$2:$C$200,$A7,Doctors!$P$2:$P$200,"Full",Doctors!$K$2:$K$200,"Active")+COUNTIFS(Doctors!$C$2:$C$200,$A7,Doctors!$P$2:$P$200,"AM",Doctors!$K$2:$K$200,"Active"))</f>
        <v/>
      </c>
      <c r="F7" s="18">
        <f>IF(Departments!H5="Closed","Closed",COUNTIFS(Doctors!$C$2:$C$200,$A7,Doctors!$Q$2:$Q$200,"Full",Doctors!$K$2:$K$200,"Active")+COUNTIFS(Doctors!$C$2:$C$200,$A7,Doctors!$Q$2:$Q$200,"AM",Doctors!$K$2:$K$200,"Active"))</f>
        <v/>
      </c>
      <c r="G7" s="18">
        <f>IF(Departments!I5="Closed","Closed",COUNTIFS(Doctors!$C$2:$C$200,$A7,Doctors!$R$2:$R$200,"Full",Doctors!$K$2:$K$200,"Active")+COUNTIFS(Doctors!$C$2:$C$200,$A7,Doctors!$R$2:$R$200,"AM",Doctors!$K$2:$K$200,"Active"))</f>
        <v/>
      </c>
      <c r="H7" s="18">
        <f>IF(Departments!D5="Closed","Closed",COUNTIFS(Doctors!$C$2:$C$200,$A7,Doctors!$M$2:$M$200,"Full",Doctors!$K$2:$K$200,"Active")+COUNTIFS(Doctors!$C$2:$C$200,$A7,Doctors!$M$2:$M$200,"PM",Doctors!$K$2:$K$200,"Active"))</f>
        <v/>
      </c>
      <c r="I7" s="18">
        <f>IF(Departments!E5="Closed","Closed",COUNTIFS(Doctors!$C$2:$C$200,$A7,Doctors!$N$2:$N$200,"Full",Doctors!$K$2:$K$200,"Active")+COUNTIFS(Doctors!$C$2:$C$200,$A7,Doctors!$N$2:$N$200,"PM",Doctors!$K$2:$K$200,"Active"))</f>
        <v/>
      </c>
      <c r="J7" s="18">
        <f>IF(Departments!F5="Closed","Closed",COUNTIFS(Doctors!$C$2:$C$200,$A7,Doctors!$O$2:$O$200,"Full",Doctors!$K$2:$K$200,"Active")+COUNTIFS(Doctors!$C$2:$C$200,$A7,Doctors!$O$2:$O$200,"PM",Doctors!$K$2:$K$200,"Active"))</f>
        <v/>
      </c>
      <c r="K7" s="18">
        <f>IF(Departments!G5="Closed","Closed",COUNTIFS(Doctors!$C$2:$C$200,$A7,Doctors!$P$2:$P$200,"Full",Doctors!$K$2:$K$200,"Active")+COUNTIFS(Doctors!$C$2:$C$200,$A7,Doctors!$P$2:$P$200,"PM",Doctors!$K$2:$K$200,"Active"))</f>
        <v/>
      </c>
      <c r="L7" s="18">
        <f>IF(Departments!H5="Closed","Closed",COUNTIFS(Doctors!$C$2:$C$200,$A7,Doctors!$Q$2:$Q$200,"Full",Doctors!$K$2:$K$200,"Active")+COUNTIFS(Doctors!$C$2:$C$200,$A7,Doctors!$Q$2:$Q$200,"PM",Doctors!$K$2:$K$200,"Active"))</f>
        <v/>
      </c>
      <c r="M7" s="18">
        <f>IF(Departments!I5="Closed","Closed",COUNTIFS(Doctors!$C$2:$C$200,$A7,Doctors!$R$2:$R$200,"Full",Doctors!$K$2:$K$200,"Active")+COUNTIFS(Doctors!$C$2:$C$200,$A7,Doctors!$R$2:$R$200,"PM",Doctors!$K$2:$K$200,"Active"))</f>
        <v/>
      </c>
    </row>
    <row r="8">
      <c r="A8" s="6">
        <f>Departments!B6</f>
        <v/>
      </c>
      <c r="B8" s="18">
        <f>IF(Departments!D6="Closed","Closed",COUNTIFS(Doctors!$C$2:$C$200,$A8,Doctors!$M$2:$M$200,"Full",Doctors!$K$2:$K$200,"Active")+COUNTIFS(Doctors!$C$2:$C$200,$A8,Doctors!$M$2:$M$200,"AM",Doctors!$K$2:$K$200,"Active"))</f>
        <v/>
      </c>
      <c r="C8" s="18">
        <f>IF(Departments!E6="Closed","Closed",COUNTIFS(Doctors!$C$2:$C$200,$A8,Doctors!$N$2:$N$200,"Full",Doctors!$K$2:$K$200,"Active")+COUNTIFS(Doctors!$C$2:$C$200,$A8,Doctors!$N$2:$N$200,"AM",Doctors!$K$2:$K$200,"Active"))</f>
        <v/>
      </c>
      <c r="D8" s="18">
        <f>IF(Departments!F6="Closed","Closed",COUNTIFS(Doctors!$C$2:$C$200,$A8,Doctors!$O$2:$O$200,"Full",Doctors!$K$2:$K$200,"Active")+COUNTIFS(Doctors!$C$2:$C$200,$A8,Doctors!$O$2:$O$200,"AM",Doctors!$K$2:$K$200,"Active"))</f>
        <v/>
      </c>
      <c r="E8" s="18">
        <f>IF(Departments!G6="Closed","Closed",COUNTIFS(Doctors!$C$2:$C$200,$A8,Doctors!$P$2:$P$200,"Full",Doctors!$K$2:$K$200,"Active")+COUNTIFS(Doctors!$C$2:$C$200,$A8,Doctors!$P$2:$P$200,"AM",Doctors!$K$2:$K$200,"Active"))</f>
        <v/>
      </c>
      <c r="F8" s="18">
        <f>IF(Departments!H6="Closed","Closed",COUNTIFS(Doctors!$C$2:$C$200,$A8,Doctors!$Q$2:$Q$200,"Full",Doctors!$K$2:$K$200,"Active")+COUNTIFS(Doctors!$C$2:$C$200,$A8,Doctors!$Q$2:$Q$200,"AM",Doctors!$K$2:$K$200,"Active"))</f>
        <v/>
      </c>
      <c r="G8" s="18">
        <f>IF(Departments!I6="Closed","Closed",COUNTIFS(Doctors!$C$2:$C$200,$A8,Doctors!$R$2:$R$200,"Full",Doctors!$K$2:$K$200,"Active")+COUNTIFS(Doctors!$C$2:$C$200,$A8,Doctors!$R$2:$R$200,"AM",Doctors!$K$2:$K$200,"Active"))</f>
        <v/>
      </c>
      <c r="H8" s="18">
        <f>IF(Departments!D6="Closed","Closed",COUNTIFS(Doctors!$C$2:$C$200,$A8,Doctors!$M$2:$M$200,"Full",Doctors!$K$2:$K$200,"Active")+COUNTIFS(Doctors!$C$2:$C$200,$A8,Doctors!$M$2:$M$200,"PM",Doctors!$K$2:$K$200,"Active"))</f>
        <v/>
      </c>
      <c r="I8" s="18">
        <f>IF(Departments!E6="Closed","Closed",COUNTIFS(Doctors!$C$2:$C$200,$A8,Doctors!$N$2:$N$200,"Full",Doctors!$K$2:$K$200,"Active")+COUNTIFS(Doctors!$C$2:$C$200,$A8,Doctors!$N$2:$N$200,"PM",Doctors!$K$2:$K$200,"Active"))</f>
        <v/>
      </c>
      <c r="J8" s="18">
        <f>IF(Departments!F6="Closed","Closed",COUNTIFS(Doctors!$C$2:$C$200,$A8,Doctors!$O$2:$O$200,"Full",Doctors!$K$2:$K$200,"Active")+COUNTIFS(Doctors!$C$2:$C$200,$A8,Doctors!$O$2:$O$200,"PM",Doctors!$K$2:$K$200,"Active"))</f>
        <v/>
      </c>
      <c r="K8" s="18">
        <f>IF(Departments!G6="Closed","Closed",COUNTIFS(Doctors!$C$2:$C$200,$A8,Doctors!$P$2:$P$200,"Full",Doctors!$K$2:$K$200,"Active")+COUNTIFS(Doctors!$C$2:$C$200,$A8,Doctors!$P$2:$P$200,"PM",Doctors!$K$2:$K$200,"Active"))</f>
        <v/>
      </c>
      <c r="L8" s="18">
        <f>IF(Departments!H6="Closed","Closed",COUNTIFS(Doctors!$C$2:$C$200,$A8,Doctors!$Q$2:$Q$200,"Full",Doctors!$K$2:$K$200,"Active")+COUNTIFS(Doctors!$C$2:$C$200,$A8,Doctors!$Q$2:$Q$200,"PM",Doctors!$K$2:$K$200,"Active"))</f>
        <v/>
      </c>
      <c r="M8" s="18">
        <f>IF(Departments!I6="Closed","Closed",COUNTIFS(Doctors!$C$2:$C$200,$A8,Doctors!$R$2:$R$200,"Full",Doctors!$K$2:$K$200,"Active")+COUNTIFS(Doctors!$C$2:$C$200,$A8,Doctors!$R$2:$R$200,"PM",Doctors!$K$2:$K$200,"Active"))</f>
        <v/>
      </c>
    </row>
    <row r="9">
      <c r="A9" s="6">
        <f>Departments!B7</f>
        <v/>
      </c>
      <c r="B9" s="18">
        <f>IF(Departments!D7="Closed","Closed",COUNTIFS(Doctors!$C$2:$C$200,$A9,Doctors!$M$2:$M$200,"Full",Doctors!$K$2:$K$200,"Active")+COUNTIFS(Doctors!$C$2:$C$200,$A9,Doctors!$M$2:$M$200,"AM",Doctors!$K$2:$K$200,"Active"))</f>
        <v/>
      </c>
      <c r="C9" s="18">
        <f>IF(Departments!E7="Closed","Closed",COUNTIFS(Doctors!$C$2:$C$200,$A9,Doctors!$N$2:$N$200,"Full",Doctors!$K$2:$K$200,"Active")+COUNTIFS(Doctors!$C$2:$C$200,$A9,Doctors!$N$2:$N$200,"AM",Doctors!$K$2:$K$200,"Active"))</f>
        <v/>
      </c>
      <c r="D9" s="18">
        <f>IF(Departments!F7="Closed","Closed",COUNTIFS(Doctors!$C$2:$C$200,$A9,Doctors!$O$2:$O$200,"Full",Doctors!$K$2:$K$200,"Active")+COUNTIFS(Doctors!$C$2:$C$200,$A9,Doctors!$O$2:$O$200,"AM",Doctors!$K$2:$K$200,"Active"))</f>
        <v/>
      </c>
      <c r="E9" s="18">
        <f>IF(Departments!G7="Closed","Closed",COUNTIFS(Doctors!$C$2:$C$200,$A9,Doctors!$P$2:$P$200,"Full",Doctors!$K$2:$K$200,"Active")+COUNTIFS(Doctors!$C$2:$C$200,$A9,Doctors!$P$2:$P$200,"AM",Doctors!$K$2:$K$200,"Active"))</f>
        <v/>
      </c>
      <c r="F9" s="18">
        <f>IF(Departments!H7="Closed","Closed",COUNTIFS(Doctors!$C$2:$C$200,$A9,Doctors!$Q$2:$Q$200,"Full",Doctors!$K$2:$K$200,"Active")+COUNTIFS(Doctors!$C$2:$C$200,$A9,Doctors!$Q$2:$Q$200,"AM",Doctors!$K$2:$K$200,"Active"))</f>
        <v/>
      </c>
      <c r="G9" s="18">
        <f>IF(Departments!I7="Closed","Closed",COUNTIFS(Doctors!$C$2:$C$200,$A9,Doctors!$R$2:$R$200,"Full",Doctors!$K$2:$K$200,"Active")+COUNTIFS(Doctors!$C$2:$C$200,$A9,Doctors!$R$2:$R$200,"AM",Doctors!$K$2:$K$200,"Active"))</f>
        <v/>
      </c>
      <c r="H9" s="18">
        <f>IF(Departments!D7="Closed","Closed",COUNTIFS(Doctors!$C$2:$C$200,$A9,Doctors!$M$2:$M$200,"Full",Doctors!$K$2:$K$200,"Active")+COUNTIFS(Doctors!$C$2:$C$200,$A9,Doctors!$M$2:$M$200,"PM",Doctors!$K$2:$K$200,"Active"))</f>
        <v/>
      </c>
      <c r="I9" s="18">
        <f>IF(Departments!E7="Closed","Closed",COUNTIFS(Doctors!$C$2:$C$200,$A9,Doctors!$N$2:$N$200,"Full",Doctors!$K$2:$K$200,"Active")+COUNTIFS(Doctors!$C$2:$C$200,$A9,Doctors!$N$2:$N$200,"PM",Doctors!$K$2:$K$200,"Active"))</f>
        <v/>
      </c>
      <c r="J9" s="18">
        <f>IF(Departments!F7="Closed","Closed",COUNTIFS(Doctors!$C$2:$C$200,$A9,Doctors!$O$2:$O$200,"Full",Doctors!$K$2:$K$200,"Active")+COUNTIFS(Doctors!$C$2:$C$200,$A9,Doctors!$O$2:$O$200,"PM",Doctors!$K$2:$K$200,"Active"))</f>
        <v/>
      </c>
      <c r="K9" s="18">
        <f>IF(Departments!G7="Closed","Closed",COUNTIFS(Doctors!$C$2:$C$200,$A9,Doctors!$P$2:$P$200,"Full",Doctors!$K$2:$K$200,"Active")+COUNTIFS(Doctors!$C$2:$C$200,$A9,Doctors!$P$2:$P$200,"PM",Doctors!$K$2:$K$200,"Active"))</f>
        <v/>
      </c>
      <c r="L9" s="18">
        <f>IF(Departments!H7="Closed","Closed",COUNTIFS(Doctors!$C$2:$C$200,$A9,Doctors!$Q$2:$Q$200,"Full",Doctors!$K$2:$K$200,"Active")+COUNTIFS(Doctors!$C$2:$C$200,$A9,Doctors!$Q$2:$Q$200,"PM",Doctors!$K$2:$K$200,"Active"))</f>
        <v/>
      </c>
      <c r="M9" s="18">
        <f>IF(Departments!I7="Closed","Closed",COUNTIFS(Doctors!$C$2:$C$200,$A9,Doctors!$R$2:$R$200,"Full",Doctors!$K$2:$K$200,"Active")+COUNTIFS(Doctors!$C$2:$C$200,$A9,Doctors!$R$2:$R$200,"PM",Doctors!$K$2:$K$200,"Active"))</f>
        <v/>
      </c>
    </row>
    <row r="10">
      <c r="A10" s="6">
        <f>Departments!B8</f>
        <v/>
      </c>
      <c r="B10" s="18">
        <f>IF(Departments!D8="Closed","Closed",COUNTIFS(Doctors!$C$2:$C$200,$A10,Doctors!$M$2:$M$200,"Full",Doctors!$K$2:$K$200,"Active")+COUNTIFS(Doctors!$C$2:$C$200,$A10,Doctors!$M$2:$M$200,"AM",Doctors!$K$2:$K$200,"Active"))</f>
        <v/>
      </c>
      <c r="C10" s="18">
        <f>IF(Departments!E8="Closed","Closed",COUNTIFS(Doctors!$C$2:$C$200,$A10,Doctors!$N$2:$N$200,"Full",Doctors!$K$2:$K$200,"Active")+COUNTIFS(Doctors!$C$2:$C$200,$A10,Doctors!$N$2:$N$200,"AM",Doctors!$K$2:$K$200,"Active"))</f>
        <v/>
      </c>
      <c r="D10" s="18">
        <f>IF(Departments!F8="Closed","Closed",COUNTIFS(Doctors!$C$2:$C$200,$A10,Doctors!$O$2:$O$200,"Full",Doctors!$K$2:$K$200,"Active")+COUNTIFS(Doctors!$C$2:$C$200,$A10,Doctors!$O$2:$O$200,"AM",Doctors!$K$2:$K$200,"Active"))</f>
        <v/>
      </c>
      <c r="E10" s="18">
        <f>IF(Departments!G8="Closed","Closed",COUNTIFS(Doctors!$C$2:$C$200,$A10,Doctors!$P$2:$P$200,"Full",Doctors!$K$2:$K$200,"Active")+COUNTIFS(Doctors!$C$2:$C$200,$A10,Doctors!$P$2:$P$200,"AM",Doctors!$K$2:$K$200,"Active"))</f>
        <v/>
      </c>
      <c r="F10" s="18">
        <f>IF(Departments!H8="Closed","Closed",COUNTIFS(Doctors!$C$2:$C$200,$A10,Doctors!$Q$2:$Q$200,"Full",Doctors!$K$2:$K$200,"Active")+COUNTIFS(Doctors!$C$2:$C$200,$A10,Doctors!$Q$2:$Q$200,"AM",Doctors!$K$2:$K$200,"Active"))</f>
        <v/>
      </c>
      <c r="G10" s="18">
        <f>IF(Departments!I8="Closed","Closed",COUNTIFS(Doctors!$C$2:$C$200,$A10,Doctors!$R$2:$R$200,"Full",Doctors!$K$2:$K$200,"Active")+COUNTIFS(Doctors!$C$2:$C$200,$A10,Doctors!$R$2:$R$200,"AM",Doctors!$K$2:$K$200,"Active"))</f>
        <v/>
      </c>
      <c r="H10" s="18">
        <f>IF(Departments!D8="Closed","Closed",COUNTIFS(Doctors!$C$2:$C$200,$A10,Doctors!$M$2:$M$200,"Full",Doctors!$K$2:$K$200,"Active")+COUNTIFS(Doctors!$C$2:$C$200,$A10,Doctors!$M$2:$M$200,"PM",Doctors!$K$2:$K$200,"Active"))</f>
        <v/>
      </c>
      <c r="I10" s="18">
        <f>IF(Departments!E8="Closed","Closed",COUNTIFS(Doctors!$C$2:$C$200,$A10,Doctors!$N$2:$N$200,"Full",Doctors!$K$2:$K$200,"Active")+COUNTIFS(Doctors!$C$2:$C$200,$A10,Doctors!$N$2:$N$200,"PM",Doctors!$K$2:$K$200,"Active"))</f>
        <v/>
      </c>
      <c r="J10" s="18">
        <f>IF(Departments!F8="Closed","Closed",COUNTIFS(Doctors!$C$2:$C$200,$A10,Doctors!$O$2:$O$200,"Full",Doctors!$K$2:$K$200,"Active")+COUNTIFS(Doctors!$C$2:$C$200,$A10,Doctors!$O$2:$O$200,"PM",Doctors!$K$2:$K$200,"Active"))</f>
        <v/>
      </c>
      <c r="K10" s="18">
        <f>IF(Departments!G8="Closed","Closed",COUNTIFS(Doctors!$C$2:$C$200,$A10,Doctors!$P$2:$P$200,"Full",Doctors!$K$2:$K$200,"Active")+COUNTIFS(Doctors!$C$2:$C$200,$A10,Doctors!$P$2:$P$200,"PM",Doctors!$K$2:$K$200,"Active"))</f>
        <v/>
      </c>
      <c r="L10" s="18">
        <f>IF(Departments!H8="Closed","Closed",COUNTIFS(Doctors!$C$2:$C$200,$A10,Doctors!$Q$2:$Q$200,"Full",Doctors!$K$2:$K$200,"Active")+COUNTIFS(Doctors!$C$2:$C$200,$A10,Doctors!$Q$2:$Q$200,"PM",Doctors!$K$2:$K$200,"Active"))</f>
        <v/>
      </c>
      <c r="M10" s="18">
        <f>IF(Departments!I8="Closed","Closed",COUNTIFS(Doctors!$C$2:$C$200,$A10,Doctors!$R$2:$R$200,"Full",Doctors!$K$2:$K$200,"Active")+COUNTIFS(Doctors!$C$2:$C$200,$A10,Doctors!$R$2:$R$200,"PM",Doctors!$K$2:$K$200,"Active"))</f>
        <v/>
      </c>
    </row>
    <row r="11">
      <c r="A11" s="6">
        <f>Departments!B9</f>
        <v/>
      </c>
      <c r="B11" s="18">
        <f>IF(Departments!D9="Closed","Closed",COUNTIFS(Doctors!$C$2:$C$200,$A11,Doctors!$M$2:$M$200,"Full",Doctors!$K$2:$K$200,"Active")+COUNTIFS(Doctors!$C$2:$C$200,$A11,Doctors!$M$2:$M$200,"AM",Doctors!$K$2:$K$200,"Active"))</f>
        <v/>
      </c>
      <c r="C11" s="18">
        <f>IF(Departments!E9="Closed","Closed",COUNTIFS(Doctors!$C$2:$C$200,$A11,Doctors!$N$2:$N$200,"Full",Doctors!$K$2:$K$200,"Active")+COUNTIFS(Doctors!$C$2:$C$200,$A11,Doctors!$N$2:$N$200,"AM",Doctors!$K$2:$K$200,"Active"))</f>
        <v/>
      </c>
      <c r="D11" s="18">
        <f>IF(Departments!F9="Closed","Closed",COUNTIFS(Doctors!$C$2:$C$200,$A11,Doctors!$O$2:$O$200,"Full",Doctors!$K$2:$K$200,"Active")+COUNTIFS(Doctors!$C$2:$C$200,$A11,Doctors!$O$2:$O$200,"AM",Doctors!$K$2:$K$200,"Active"))</f>
        <v/>
      </c>
      <c r="E11" s="18">
        <f>IF(Departments!G9="Closed","Closed",COUNTIFS(Doctors!$C$2:$C$200,$A11,Doctors!$P$2:$P$200,"Full",Doctors!$K$2:$K$200,"Active")+COUNTIFS(Doctors!$C$2:$C$200,$A11,Doctors!$P$2:$P$200,"AM",Doctors!$K$2:$K$200,"Active"))</f>
        <v/>
      </c>
      <c r="F11" s="18">
        <f>IF(Departments!H9="Closed","Closed",COUNTIFS(Doctors!$C$2:$C$200,$A11,Doctors!$Q$2:$Q$200,"Full",Doctors!$K$2:$K$200,"Active")+COUNTIFS(Doctors!$C$2:$C$200,$A11,Doctors!$Q$2:$Q$200,"AM",Doctors!$K$2:$K$200,"Active"))</f>
        <v/>
      </c>
      <c r="G11" s="18">
        <f>IF(Departments!I9="Closed","Closed",COUNTIFS(Doctors!$C$2:$C$200,$A11,Doctors!$R$2:$R$200,"Full",Doctors!$K$2:$K$200,"Active")+COUNTIFS(Doctors!$C$2:$C$200,$A11,Doctors!$R$2:$R$200,"AM",Doctors!$K$2:$K$200,"Active"))</f>
        <v/>
      </c>
      <c r="H11" s="18">
        <f>IF(Departments!D9="Closed","Closed",COUNTIFS(Doctors!$C$2:$C$200,$A11,Doctors!$M$2:$M$200,"Full",Doctors!$K$2:$K$200,"Active")+COUNTIFS(Doctors!$C$2:$C$200,$A11,Doctors!$M$2:$M$200,"PM",Doctors!$K$2:$K$200,"Active"))</f>
        <v/>
      </c>
      <c r="I11" s="18">
        <f>IF(Departments!E9="Closed","Closed",COUNTIFS(Doctors!$C$2:$C$200,$A11,Doctors!$N$2:$N$200,"Full",Doctors!$K$2:$K$200,"Active")+COUNTIFS(Doctors!$C$2:$C$200,$A11,Doctors!$N$2:$N$200,"PM",Doctors!$K$2:$K$200,"Active"))</f>
        <v/>
      </c>
      <c r="J11" s="18">
        <f>IF(Departments!F9="Closed","Closed",COUNTIFS(Doctors!$C$2:$C$200,$A11,Doctors!$O$2:$O$200,"Full",Doctors!$K$2:$K$200,"Active")+COUNTIFS(Doctors!$C$2:$C$200,$A11,Doctors!$O$2:$O$200,"PM",Doctors!$K$2:$K$200,"Active"))</f>
        <v/>
      </c>
      <c r="K11" s="18">
        <f>IF(Departments!G9="Closed","Closed",COUNTIFS(Doctors!$C$2:$C$200,$A11,Doctors!$P$2:$P$200,"Full",Doctors!$K$2:$K$200,"Active")+COUNTIFS(Doctors!$C$2:$C$200,$A11,Doctors!$P$2:$P$200,"PM",Doctors!$K$2:$K$200,"Active"))</f>
        <v/>
      </c>
      <c r="L11" s="18">
        <f>IF(Departments!H9="Closed","Closed",COUNTIFS(Doctors!$C$2:$C$200,$A11,Doctors!$Q$2:$Q$200,"Full",Doctors!$K$2:$K$200,"Active")+COUNTIFS(Doctors!$C$2:$C$200,$A11,Doctors!$Q$2:$Q$200,"PM",Doctors!$K$2:$K$200,"Active"))</f>
        <v/>
      </c>
      <c r="M11" s="18">
        <f>IF(Departments!I9="Closed","Closed",COUNTIFS(Doctors!$C$2:$C$200,$A11,Doctors!$R$2:$R$200,"Full",Doctors!$K$2:$K$200,"Active")+COUNTIFS(Doctors!$C$2:$C$200,$A11,Doctors!$R$2:$R$200,"PM",Doctors!$K$2:$K$200,"Active"))</f>
        <v/>
      </c>
    </row>
    <row r="12">
      <c r="A12" s="6">
        <f>Departments!B10</f>
        <v/>
      </c>
      <c r="B12" s="18">
        <f>IF(Departments!D10="Closed","Closed",COUNTIFS(Doctors!$C$2:$C$200,$A12,Doctors!$M$2:$M$200,"Full",Doctors!$K$2:$K$200,"Active")+COUNTIFS(Doctors!$C$2:$C$200,$A12,Doctors!$M$2:$M$200,"AM",Doctors!$K$2:$K$200,"Active"))</f>
        <v/>
      </c>
      <c r="C12" s="18">
        <f>IF(Departments!E10="Closed","Closed",COUNTIFS(Doctors!$C$2:$C$200,$A12,Doctors!$N$2:$N$200,"Full",Doctors!$K$2:$K$200,"Active")+COUNTIFS(Doctors!$C$2:$C$200,$A12,Doctors!$N$2:$N$200,"AM",Doctors!$K$2:$K$200,"Active"))</f>
        <v/>
      </c>
      <c r="D12" s="18">
        <f>IF(Departments!F10="Closed","Closed",COUNTIFS(Doctors!$C$2:$C$200,$A12,Doctors!$O$2:$O$200,"Full",Doctors!$K$2:$K$200,"Active")+COUNTIFS(Doctors!$C$2:$C$200,$A12,Doctors!$O$2:$O$200,"AM",Doctors!$K$2:$K$200,"Active"))</f>
        <v/>
      </c>
      <c r="E12" s="18">
        <f>IF(Departments!G10="Closed","Closed",COUNTIFS(Doctors!$C$2:$C$200,$A12,Doctors!$P$2:$P$200,"Full",Doctors!$K$2:$K$200,"Active")+COUNTIFS(Doctors!$C$2:$C$200,$A12,Doctors!$P$2:$P$200,"AM",Doctors!$K$2:$K$200,"Active"))</f>
        <v/>
      </c>
      <c r="F12" s="18">
        <f>IF(Departments!H10="Closed","Closed",COUNTIFS(Doctors!$C$2:$C$200,$A12,Doctors!$Q$2:$Q$200,"Full",Doctors!$K$2:$K$200,"Active")+COUNTIFS(Doctors!$C$2:$C$200,$A12,Doctors!$Q$2:$Q$200,"AM",Doctors!$K$2:$K$200,"Active"))</f>
        <v/>
      </c>
      <c r="G12" s="18">
        <f>IF(Departments!I10="Closed","Closed",COUNTIFS(Doctors!$C$2:$C$200,$A12,Doctors!$R$2:$R$200,"Full",Doctors!$K$2:$K$200,"Active")+COUNTIFS(Doctors!$C$2:$C$200,$A12,Doctors!$R$2:$R$200,"AM",Doctors!$K$2:$K$200,"Active"))</f>
        <v/>
      </c>
      <c r="H12" s="18">
        <f>IF(Departments!D10="Closed","Closed",COUNTIFS(Doctors!$C$2:$C$200,$A12,Doctors!$M$2:$M$200,"Full",Doctors!$K$2:$K$200,"Active")+COUNTIFS(Doctors!$C$2:$C$200,$A12,Doctors!$M$2:$M$200,"PM",Doctors!$K$2:$K$200,"Active"))</f>
        <v/>
      </c>
      <c r="I12" s="18">
        <f>IF(Departments!E10="Closed","Closed",COUNTIFS(Doctors!$C$2:$C$200,$A12,Doctors!$N$2:$N$200,"Full",Doctors!$K$2:$K$200,"Active")+COUNTIFS(Doctors!$C$2:$C$200,$A12,Doctors!$N$2:$N$200,"PM",Doctors!$K$2:$K$200,"Active"))</f>
        <v/>
      </c>
      <c r="J12" s="18">
        <f>IF(Departments!F10="Closed","Closed",COUNTIFS(Doctors!$C$2:$C$200,$A12,Doctors!$O$2:$O$200,"Full",Doctors!$K$2:$K$200,"Active")+COUNTIFS(Doctors!$C$2:$C$200,$A12,Doctors!$O$2:$O$200,"PM",Doctors!$K$2:$K$200,"Active"))</f>
        <v/>
      </c>
      <c r="K12" s="18">
        <f>IF(Departments!G10="Closed","Closed",COUNTIFS(Doctors!$C$2:$C$200,$A12,Doctors!$P$2:$P$200,"Full",Doctors!$K$2:$K$200,"Active")+COUNTIFS(Doctors!$C$2:$C$200,$A12,Doctors!$P$2:$P$200,"PM",Doctors!$K$2:$K$200,"Active"))</f>
        <v/>
      </c>
      <c r="L12" s="18">
        <f>IF(Departments!H10="Closed","Closed",COUNTIFS(Doctors!$C$2:$C$200,$A12,Doctors!$Q$2:$Q$200,"Full",Doctors!$K$2:$K$200,"Active")+COUNTIFS(Doctors!$C$2:$C$200,$A12,Doctors!$Q$2:$Q$200,"PM",Doctors!$K$2:$K$200,"Active"))</f>
        <v/>
      </c>
      <c r="M12" s="18">
        <f>IF(Departments!I10="Closed","Closed",COUNTIFS(Doctors!$C$2:$C$200,$A12,Doctors!$R$2:$R$200,"Full",Doctors!$K$2:$K$200,"Active")+COUNTIFS(Doctors!$C$2:$C$200,$A12,Doctors!$R$2:$R$200,"PM",Doctors!$K$2:$K$200,"Active"))</f>
        <v/>
      </c>
    </row>
    <row r="13">
      <c r="A13" s="6">
        <f>Departments!B11</f>
        <v/>
      </c>
      <c r="B13" s="18">
        <f>IF(Departments!D11="Closed","Closed",COUNTIFS(Doctors!$C$2:$C$200,$A13,Doctors!$M$2:$M$200,"Full",Doctors!$K$2:$K$200,"Active")+COUNTIFS(Doctors!$C$2:$C$200,$A13,Doctors!$M$2:$M$200,"AM",Doctors!$K$2:$K$200,"Active"))</f>
        <v/>
      </c>
      <c r="C13" s="18">
        <f>IF(Departments!E11="Closed","Closed",COUNTIFS(Doctors!$C$2:$C$200,$A13,Doctors!$N$2:$N$200,"Full",Doctors!$K$2:$K$200,"Active")+COUNTIFS(Doctors!$C$2:$C$200,$A13,Doctors!$N$2:$N$200,"AM",Doctors!$K$2:$K$200,"Active"))</f>
        <v/>
      </c>
      <c r="D13" s="18">
        <f>IF(Departments!F11="Closed","Closed",COUNTIFS(Doctors!$C$2:$C$200,$A13,Doctors!$O$2:$O$200,"Full",Doctors!$K$2:$K$200,"Active")+COUNTIFS(Doctors!$C$2:$C$200,$A13,Doctors!$O$2:$O$200,"AM",Doctors!$K$2:$K$200,"Active"))</f>
        <v/>
      </c>
      <c r="E13" s="18">
        <f>IF(Departments!G11="Closed","Closed",COUNTIFS(Doctors!$C$2:$C$200,$A13,Doctors!$P$2:$P$200,"Full",Doctors!$K$2:$K$200,"Active")+COUNTIFS(Doctors!$C$2:$C$200,$A13,Doctors!$P$2:$P$200,"AM",Doctors!$K$2:$K$200,"Active"))</f>
        <v/>
      </c>
      <c r="F13" s="18">
        <f>IF(Departments!H11="Closed","Closed",COUNTIFS(Doctors!$C$2:$C$200,$A13,Doctors!$Q$2:$Q$200,"Full",Doctors!$K$2:$K$200,"Active")+COUNTIFS(Doctors!$C$2:$C$200,$A13,Doctors!$Q$2:$Q$200,"AM",Doctors!$K$2:$K$200,"Active"))</f>
        <v/>
      </c>
      <c r="G13" s="18">
        <f>IF(Departments!I11="Closed","Closed",COUNTIFS(Doctors!$C$2:$C$200,$A13,Doctors!$R$2:$R$200,"Full",Doctors!$K$2:$K$200,"Active")+COUNTIFS(Doctors!$C$2:$C$200,$A13,Doctors!$R$2:$R$200,"AM",Doctors!$K$2:$K$200,"Active"))</f>
        <v/>
      </c>
      <c r="H13" s="18">
        <f>IF(Departments!D11="Closed","Closed",COUNTIFS(Doctors!$C$2:$C$200,$A13,Doctors!$M$2:$M$200,"Full",Doctors!$K$2:$K$200,"Active")+COUNTIFS(Doctors!$C$2:$C$200,$A13,Doctors!$M$2:$M$200,"PM",Doctors!$K$2:$K$200,"Active"))</f>
        <v/>
      </c>
      <c r="I13" s="18">
        <f>IF(Departments!E11="Closed","Closed",COUNTIFS(Doctors!$C$2:$C$200,$A13,Doctors!$N$2:$N$200,"Full",Doctors!$K$2:$K$200,"Active")+COUNTIFS(Doctors!$C$2:$C$200,$A13,Doctors!$N$2:$N$200,"PM",Doctors!$K$2:$K$200,"Active"))</f>
        <v/>
      </c>
      <c r="J13" s="18">
        <f>IF(Departments!F11="Closed","Closed",COUNTIFS(Doctors!$C$2:$C$200,$A13,Doctors!$O$2:$O$200,"Full",Doctors!$K$2:$K$200,"Active")+COUNTIFS(Doctors!$C$2:$C$200,$A13,Doctors!$O$2:$O$200,"PM",Doctors!$K$2:$K$200,"Active"))</f>
        <v/>
      </c>
      <c r="K13" s="18">
        <f>IF(Departments!G11="Closed","Closed",COUNTIFS(Doctors!$C$2:$C$200,$A13,Doctors!$P$2:$P$200,"Full",Doctors!$K$2:$K$200,"Active")+COUNTIFS(Doctors!$C$2:$C$200,$A13,Doctors!$P$2:$P$200,"PM",Doctors!$K$2:$K$200,"Active"))</f>
        <v/>
      </c>
      <c r="L13" s="18">
        <f>IF(Departments!H11="Closed","Closed",COUNTIFS(Doctors!$C$2:$C$200,$A13,Doctors!$Q$2:$Q$200,"Full",Doctors!$K$2:$K$200,"Active")+COUNTIFS(Doctors!$C$2:$C$200,$A13,Doctors!$Q$2:$Q$200,"PM",Doctors!$K$2:$K$200,"Active"))</f>
        <v/>
      </c>
      <c r="M13" s="18">
        <f>IF(Departments!I11="Closed","Closed",COUNTIFS(Doctors!$C$2:$C$200,$A13,Doctors!$R$2:$R$200,"Full",Doctors!$K$2:$K$200,"Active")+COUNTIFS(Doctors!$C$2:$C$200,$A13,Doctors!$R$2:$R$200,"PM",Doctors!$K$2:$K$200,"Active"))</f>
        <v/>
      </c>
    </row>
    <row r="14">
      <c r="A14" s="6">
        <f>Departments!B12</f>
        <v/>
      </c>
      <c r="B14" s="18">
        <f>IF(Departments!D12="Closed","Closed",COUNTIFS(Doctors!$C$2:$C$200,$A14,Doctors!$M$2:$M$200,"Full",Doctors!$K$2:$K$200,"Active")+COUNTIFS(Doctors!$C$2:$C$200,$A14,Doctors!$M$2:$M$200,"AM",Doctors!$K$2:$K$200,"Active"))</f>
        <v/>
      </c>
      <c r="C14" s="18">
        <f>IF(Departments!E12="Closed","Closed",COUNTIFS(Doctors!$C$2:$C$200,$A14,Doctors!$N$2:$N$200,"Full",Doctors!$K$2:$K$200,"Active")+COUNTIFS(Doctors!$C$2:$C$200,$A14,Doctors!$N$2:$N$200,"AM",Doctors!$K$2:$K$200,"Active"))</f>
        <v/>
      </c>
      <c r="D14" s="18">
        <f>IF(Departments!F12="Closed","Closed",COUNTIFS(Doctors!$C$2:$C$200,$A14,Doctors!$O$2:$O$200,"Full",Doctors!$K$2:$K$200,"Active")+COUNTIFS(Doctors!$C$2:$C$200,$A14,Doctors!$O$2:$O$200,"AM",Doctors!$K$2:$K$200,"Active"))</f>
        <v/>
      </c>
      <c r="E14" s="18">
        <f>IF(Departments!G12="Closed","Closed",COUNTIFS(Doctors!$C$2:$C$200,$A14,Doctors!$P$2:$P$200,"Full",Doctors!$K$2:$K$200,"Active")+COUNTIFS(Doctors!$C$2:$C$200,$A14,Doctors!$P$2:$P$200,"AM",Doctors!$K$2:$K$200,"Active"))</f>
        <v/>
      </c>
      <c r="F14" s="18">
        <f>IF(Departments!H12="Closed","Closed",COUNTIFS(Doctors!$C$2:$C$200,$A14,Doctors!$Q$2:$Q$200,"Full",Doctors!$K$2:$K$200,"Active")+COUNTIFS(Doctors!$C$2:$C$200,$A14,Doctors!$Q$2:$Q$200,"AM",Doctors!$K$2:$K$200,"Active"))</f>
        <v/>
      </c>
      <c r="G14" s="18">
        <f>IF(Departments!I12="Closed","Closed",COUNTIFS(Doctors!$C$2:$C$200,$A14,Doctors!$R$2:$R$200,"Full",Doctors!$K$2:$K$200,"Active")+COUNTIFS(Doctors!$C$2:$C$200,$A14,Doctors!$R$2:$R$200,"AM",Doctors!$K$2:$K$200,"Active"))</f>
        <v/>
      </c>
      <c r="H14" s="18">
        <f>IF(Departments!D12="Closed","Closed",COUNTIFS(Doctors!$C$2:$C$200,$A14,Doctors!$M$2:$M$200,"Full",Doctors!$K$2:$K$200,"Active")+COUNTIFS(Doctors!$C$2:$C$200,$A14,Doctors!$M$2:$M$200,"PM",Doctors!$K$2:$K$200,"Active"))</f>
        <v/>
      </c>
      <c r="I14" s="18">
        <f>IF(Departments!E12="Closed","Closed",COUNTIFS(Doctors!$C$2:$C$200,$A14,Doctors!$N$2:$N$200,"Full",Doctors!$K$2:$K$200,"Active")+COUNTIFS(Doctors!$C$2:$C$200,$A14,Doctors!$N$2:$N$200,"PM",Doctors!$K$2:$K$200,"Active"))</f>
        <v/>
      </c>
      <c r="J14" s="18">
        <f>IF(Departments!F12="Closed","Closed",COUNTIFS(Doctors!$C$2:$C$200,$A14,Doctors!$O$2:$O$200,"Full",Doctors!$K$2:$K$200,"Active")+COUNTIFS(Doctors!$C$2:$C$200,$A14,Doctors!$O$2:$O$200,"PM",Doctors!$K$2:$K$200,"Active"))</f>
        <v/>
      </c>
      <c r="K14" s="18">
        <f>IF(Departments!G12="Closed","Closed",COUNTIFS(Doctors!$C$2:$C$200,$A14,Doctors!$P$2:$P$200,"Full",Doctors!$K$2:$K$200,"Active")+COUNTIFS(Doctors!$C$2:$C$200,$A14,Doctors!$P$2:$P$200,"PM",Doctors!$K$2:$K$200,"Active"))</f>
        <v/>
      </c>
      <c r="L14" s="18">
        <f>IF(Departments!H12="Closed","Closed",COUNTIFS(Doctors!$C$2:$C$200,$A14,Doctors!$Q$2:$Q$200,"Full",Doctors!$K$2:$K$200,"Active")+COUNTIFS(Doctors!$C$2:$C$200,$A14,Doctors!$Q$2:$Q$200,"PM",Doctors!$K$2:$K$200,"Active"))</f>
        <v/>
      </c>
      <c r="M14" s="18">
        <f>IF(Departments!I12="Closed","Closed",COUNTIFS(Doctors!$C$2:$C$200,$A14,Doctors!$R$2:$R$200,"Full",Doctors!$K$2:$K$200,"Active")+COUNTIFS(Doctors!$C$2:$C$200,$A14,Doctors!$R$2:$R$200,"PM",Doctors!$K$2:$K$200,"Active"))</f>
        <v/>
      </c>
    </row>
    <row r="15">
      <c r="A15" s="6">
        <f>Departments!B13</f>
        <v/>
      </c>
      <c r="B15" s="18">
        <f>IF(Departments!D13="Closed","Closed",COUNTIFS(Doctors!$C$2:$C$200,$A15,Doctors!$M$2:$M$200,"Full",Doctors!$K$2:$K$200,"Active")+COUNTIFS(Doctors!$C$2:$C$200,$A15,Doctors!$M$2:$M$200,"AM",Doctors!$K$2:$K$200,"Active"))</f>
        <v/>
      </c>
      <c r="C15" s="18">
        <f>IF(Departments!E13="Closed","Closed",COUNTIFS(Doctors!$C$2:$C$200,$A15,Doctors!$N$2:$N$200,"Full",Doctors!$K$2:$K$200,"Active")+COUNTIFS(Doctors!$C$2:$C$200,$A15,Doctors!$N$2:$N$200,"AM",Doctors!$K$2:$K$200,"Active"))</f>
        <v/>
      </c>
      <c r="D15" s="18">
        <f>IF(Departments!F13="Closed","Closed",COUNTIFS(Doctors!$C$2:$C$200,$A15,Doctors!$O$2:$O$200,"Full",Doctors!$K$2:$K$200,"Active")+COUNTIFS(Doctors!$C$2:$C$200,$A15,Doctors!$O$2:$O$200,"AM",Doctors!$K$2:$K$200,"Active"))</f>
        <v/>
      </c>
      <c r="E15" s="18">
        <f>IF(Departments!G13="Closed","Closed",COUNTIFS(Doctors!$C$2:$C$200,$A15,Doctors!$P$2:$P$200,"Full",Doctors!$K$2:$K$200,"Active")+COUNTIFS(Doctors!$C$2:$C$200,$A15,Doctors!$P$2:$P$200,"AM",Doctors!$K$2:$K$200,"Active"))</f>
        <v/>
      </c>
      <c r="F15" s="18">
        <f>IF(Departments!H13="Closed","Closed",COUNTIFS(Doctors!$C$2:$C$200,$A15,Doctors!$Q$2:$Q$200,"Full",Doctors!$K$2:$K$200,"Active")+COUNTIFS(Doctors!$C$2:$C$200,$A15,Doctors!$Q$2:$Q$200,"AM",Doctors!$K$2:$K$200,"Active"))</f>
        <v/>
      </c>
      <c r="G15" s="18">
        <f>IF(Departments!I13="Closed","Closed",COUNTIFS(Doctors!$C$2:$C$200,$A15,Doctors!$R$2:$R$200,"Full",Doctors!$K$2:$K$200,"Active")+COUNTIFS(Doctors!$C$2:$C$200,$A15,Doctors!$R$2:$R$200,"AM",Doctors!$K$2:$K$200,"Active"))</f>
        <v/>
      </c>
      <c r="H15" s="18">
        <f>IF(Departments!D13="Closed","Closed",COUNTIFS(Doctors!$C$2:$C$200,$A15,Doctors!$M$2:$M$200,"Full",Doctors!$K$2:$K$200,"Active")+COUNTIFS(Doctors!$C$2:$C$200,$A15,Doctors!$M$2:$M$200,"PM",Doctors!$K$2:$K$200,"Active"))</f>
        <v/>
      </c>
      <c r="I15" s="18">
        <f>IF(Departments!E13="Closed","Closed",COUNTIFS(Doctors!$C$2:$C$200,$A15,Doctors!$N$2:$N$200,"Full",Doctors!$K$2:$K$200,"Active")+COUNTIFS(Doctors!$C$2:$C$200,$A15,Doctors!$N$2:$N$200,"PM",Doctors!$K$2:$K$200,"Active"))</f>
        <v/>
      </c>
      <c r="J15" s="18">
        <f>IF(Departments!F13="Closed","Closed",COUNTIFS(Doctors!$C$2:$C$200,$A15,Doctors!$O$2:$O$200,"Full",Doctors!$K$2:$K$200,"Active")+COUNTIFS(Doctors!$C$2:$C$200,$A15,Doctors!$O$2:$O$200,"PM",Doctors!$K$2:$K$200,"Active"))</f>
        <v/>
      </c>
      <c r="K15" s="18">
        <f>IF(Departments!G13="Closed","Closed",COUNTIFS(Doctors!$C$2:$C$200,$A15,Doctors!$P$2:$P$200,"Full",Doctors!$K$2:$K$200,"Active")+COUNTIFS(Doctors!$C$2:$C$200,$A15,Doctors!$P$2:$P$200,"PM",Doctors!$K$2:$K$200,"Active"))</f>
        <v/>
      </c>
      <c r="L15" s="18">
        <f>IF(Departments!H13="Closed","Closed",COUNTIFS(Doctors!$C$2:$C$200,$A15,Doctors!$Q$2:$Q$200,"Full",Doctors!$K$2:$K$200,"Active")+COUNTIFS(Doctors!$C$2:$C$200,$A15,Doctors!$Q$2:$Q$200,"PM",Doctors!$K$2:$K$200,"Active"))</f>
        <v/>
      </c>
      <c r="M15" s="18">
        <f>IF(Departments!I13="Closed","Closed",COUNTIFS(Doctors!$C$2:$C$200,$A15,Doctors!$R$2:$R$200,"Full",Doctors!$K$2:$K$200,"Active")+COUNTIFS(Doctors!$C$2:$C$200,$A15,Doctors!$R$2:$R$200,"PM",Doctors!$K$2:$K$200,"Active"))</f>
        <v/>
      </c>
    </row>
    <row r="17">
      <c r="A17" s="2" t="inlineStr">
        <is>
          <t>Counts doctors with Status = Active whose weekly pattern covers that session. Leave dates are not included here.</t>
        </is>
      </c>
    </row>
  </sheetData>
  <mergeCells count="2">
    <mergeCell ref="B2:G2"/>
    <mergeCell ref="H2:M2"/>
  </mergeCells>
  <conditionalFormatting sqref="B4:M15">
    <cfRule type="cellIs" priority="1" operator="equal" dxfId="4">
      <formula>0</formula>
    </cfRule>
    <cfRule type="cellIs" priority="2" operator="equal" dxfId="8">
      <formula>"Closed"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2026-10-08T04:34:31Z</dcterms:created>
  <dcterms:modified xsi:type="dcterms:W3CDTF">2026-10-08T04:34:31Z</dcterms:modified>
</cp:coreProperties>
</file>